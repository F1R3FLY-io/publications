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nt Cost Model" sheetId="2" state="visible" r:id="rId4"/>
    <sheet name="Rent Density" sheetId="3" state="visible" r:id="rId5"/>
    <sheet name="Rent Solvency" sheetId="4" state="visible" r:id="rId6"/>
    <sheet name="AI" sheetId="5" state="visible" r:id="rId7"/>
    <sheet name="Fintech" sheetId="6" state="visible" r:id="rId8"/>
    <sheet name="Medical" sheetId="7" state="visible" r:id="rId9"/>
    <sheet name="Music" sheetId="8" state="visible" r:id="rId10"/>
    <sheet name="Web 2.0" sheetId="9" state="visible" r:id="rId11"/>
    <sheet name="CAC" sheetId="10" state="visible" r:id="rId12"/>
    <sheet name="Connector" sheetId="11" state="visible" r:id="rId13"/>
    <sheet name="Bandwidth" sheetId="12" state="visible" r:id="rId14"/>
    <sheet name="Summ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OCI x86 flexible compute list, Q1-Q2 2026: $0.025/OCPU-hr</t>
        </r>
      </text>
    </comment>
    <comment ref="B12" authorId="0">
      <text>
        <r>
          <rPr>
            <sz val="10"/>
            <rFont val="Arial"/>
            <family val="2"/>
          </rPr>
          <t xml:space="preserve">OCI flexible-shape memory list rate</t>
        </r>
      </text>
    </comment>
    <comment ref="B13" authorId="0">
      <text>
        <r>
          <rPr>
            <sz val="10"/>
            <rFont val="Arial"/>
            <family val="2"/>
          </rPr>
          <t xml:space="preserve">OCI Balanced block volume, ~$0.0255/GB-mo</t>
        </r>
      </text>
    </comment>
    <comment ref="B19" authorId="0">
      <text>
        <r>
          <rPr>
            <sz val="10"/>
            <rFont val="Arial"/>
            <family val="2"/>
          </rPr>
          <t xml:space="preserve">~10^6 deploys/day x 30 days at the split threshold (see Rent note Table 2)</t>
        </r>
      </text>
    </comment>
    <comment ref="B20" authorId="0">
      <text>
        <r>
          <rPr>
            <sz val="10"/>
            <rFont val="Arial"/>
            <family val="2"/>
          </rPr>
          <t xml:space="preserve">Mission-critical shards run below the split threshold for reliability</t>
        </r>
      </text>
    </comment>
    <comment ref="B24" authorId="0">
      <text>
        <r>
          <rPr>
            <sz val="10"/>
            <rFont val="Arial"/>
            <family val="2"/>
          </rPr>
          <t xml:space="preserve">Google Display Network average ~$3.12 CPM, 2026; $3.00 used as round assumption</t>
        </r>
      </text>
    </comment>
    <comment ref="B29" authorId="0">
      <text>
        <r>
          <rPr>
            <sz val="10"/>
            <rFont val="Arial"/>
            <family val="2"/>
          </rPr>
          <t xml:space="preserve">Most assumption-sensitive figure; right for settlement events, bimodal in practice</t>
        </r>
      </text>
    </comment>
    <comment ref="B43" authorId="0">
      <text>
        <r>
          <rPr>
            <sz val="10"/>
            <rFont val="Arial"/>
            <family val="2"/>
          </rPr>
          <t xml:space="preserve">OCI: first 10TB/mo free, then $0.0085/GB. Oracle reportedly moved to free egress across all regions in Feb 2026 - set to 0 to model that.</t>
        </r>
      </text>
    </comment>
    <comment ref="B45" authorId="0">
      <text>
        <r>
          <rPr>
            <sz val="10"/>
            <rFont val="Arial"/>
            <family val="2"/>
          </rPr>
          <t xml:space="preserve">Third-party CDN / edge delivery, not covered by OCI free egress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Cross-shard coordination cost in probe-equivalents per request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Right for settlement events; bimodal in practice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VHA serves ~9.1M enrolled veterans (va.gov, 2026)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Conservative; engaged listeners stream ~10/day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Commonly-cited industry folklore figure</t>
        </r>
      </text>
    </comment>
    <comment ref="B6" authorId="0">
      <text>
        <r>
          <rPr>
            <sz val="10"/>
            <rFont val="Arial"/>
            <family val="2"/>
          </rPr>
          <t xml:space="preserve">Commonly-cited industry folklore figure</t>
        </r>
      </text>
    </comment>
    <comment ref="B7" authorId="0">
      <text>
        <r>
          <rPr>
            <sz val="10"/>
            <rFont val="Arial"/>
            <family val="2"/>
          </rPr>
          <t xml:space="preserve">A head acquired once is a user in m markets via token portability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Under uniform mixing chi -&gt; (n-1)/n; clustered traffic gives a lower effective value</t>
        </r>
      </text>
    </comment>
  </commentList>
</comments>
</file>

<file path=xl/sharedStrings.xml><?xml version="1.0" encoding="utf-8"?>
<sst xmlns="http://schemas.openxmlformats.org/spreadsheetml/2006/main" count="370" uniqueCount="299">
  <si>
    <t xml:space="preserve">F1R3FLY — Sharding Economics Model</t>
  </si>
  <si>
    <t xml:space="preserve">Assumptions &amp; levers.  All downstream tabs are formula-linked to this sheet.</t>
  </si>
  <si>
    <t xml:space="preserve">Legend:</t>
  </si>
  <si>
    <t xml:space="preserve">Blue = input / lever</t>
  </si>
  <si>
    <t xml:space="preserve">Black = formula</t>
  </si>
  <si>
    <t xml:space="preserve">Green = cross-sheet link</t>
  </si>
  <si>
    <t xml:space="preserve">INFRASTRUCTURE (OCI list prices, Q1–Q2 2026)</t>
  </si>
  <si>
    <t xml:space="preserve">Nodes per shard</t>
  </si>
  <si>
    <t xml:space="preserve">nodes</t>
  </si>
  <si>
    <t xml:space="preserve">Cores (OCPU) per node</t>
  </si>
  <si>
    <t xml:space="preserve">OCPU</t>
  </si>
  <si>
    <t xml:space="preserve">Memory per node</t>
  </si>
  <si>
    <t xml:space="preserve">GB</t>
  </si>
  <si>
    <t xml:space="preserve">Storage per node</t>
  </si>
  <si>
    <t xml:space="preserve">TB</t>
  </si>
  <si>
    <t xml:space="preserve">Hours per month</t>
  </si>
  <si>
    <t xml:space="preserve">h</t>
  </si>
  <si>
    <t xml:space="preserve">Compute rate</t>
  </si>
  <si>
    <t xml:space="preserve">$/OCPU-hr</t>
  </si>
  <si>
    <t xml:space="preserve">Memory rate</t>
  </si>
  <si>
    <t xml:space="preserve">$/GB-hr</t>
  </si>
  <si>
    <t xml:space="preserve">Block storage rate</t>
  </si>
  <si>
    <t xml:space="preserve">$/GB-mo</t>
  </si>
  <si>
    <t xml:space="preserve">Ops / overhead</t>
  </si>
  <si>
    <t xml:space="preserve">%</t>
  </si>
  <si>
    <t xml:space="preserve">Per-residual footprint</t>
  </si>
  <si>
    <t xml:space="preserve">KB</t>
  </si>
  <si>
    <t xml:space="preserve">Residuals per deploy</t>
  </si>
  <si>
    <t xml:space="preserve">count</t>
  </si>
  <si>
    <t xml:space="preserve">CAPACITY &amp; PACKING</t>
  </si>
  <si>
    <t xml:space="preserve">Dense capacity per shard</t>
  </si>
  <si>
    <t xml:space="preserve">tx/mo</t>
  </si>
  <si>
    <t xml:space="preserve">Headroom capacity per shard</t>
  </si>
  <si>
    <t xml:space="preserve">Hot slots per shard</t>
  </si>
  <si>
    <t xml:space="preserve">slots</t>
  </si>
  <si>
    <t xml:space="preserve">ADVERTISING</t>
  </si>
  <si>
    <t xml:space="preserve">Display CPM</t>
  </si>
  <si>
    <t xml:space="preserve">$/1000 impr</t>
  </si>
  <si>
    <t xml:space="preserve">Per-impression value</t>
  </si>
  <si>
    <t xml:space="preserve">$/impr</t>
  </si>
  <si>
    <t xml:space="preserve">SECTOR FEES  (r_tx, blended $/transaction)</t>
  </si>
  <si>
    <t xml:space="preserve">AI</t>
  </si>
  <si>
    <t xml:space="preserve">$/tx</t>
  </si>
  <si>
    <t xml:space="preserve">Fintech</t>
  </si>
  <si>
    <t xml:space="preserve">Music</t>
  </si>
  <si>
    <t xml:space="preserve">$/play</t>
  </si>
  <si>
    <t xml:space="preserve">Medical — $/patient/month (R)</t>
  </si>
  <si>
    <t xml:space="preserve">$/pt-mo</t>
  </si>
  <si>
    <t xml:space="preserve">Medical — tx/patient/month (τ)</t>
  </si>
  <si>
    <t xml:space="preserve">tx/pt-mo</t>
  </si>
  <si>
    <t xml:space="preserve">Medical — implied $/tx</t>
  </si>
  <si>
    <t xml:space="preserve">COMPLIANCE MULTIPLIERS</t>
  </si>
  <si>
    <t xml:space="preserve">x</t>
  </si>
  <si>
    <t xml:space="preserve">Biotech</t>
  </si>
  <si>
    <t xml:space="preserve">Medical</t>
  </si>
  <si>
    <t xml:space="preserve">BANDWIDTH (OCI egress; set to 0 to model reported free-egress)</t>
  </si>
  <si>
    <t xml:space="preserve">Internet egress</t>
  </si>
  <si>
    <t xml:space="preserve">$/GB</t>
  </si>
  <si>
    <t xml:space="preserve">Inter-region egress</t>
  </si>
  <si>
    <t xml:space="preserve">CDN / edge egress</t>
  </si>
  <si>
    <t xml:space="preserve">Free egress tier</t>
  </si>
  <si>
    <t xml:space="preserve">TB/mo</t>
  </si>
  <si>
    <t xml:space="preserve">MEDIA PAYLOAD SIZES</t>
  </si>
  <si>
    <t xml:space="preserve">Radiology study (CT/MRI)</t>
  </si>
  <si>
    <t xml:space="preserve">MB</t>
  </si>
  <si>
    <t xml:space="preserve">Audio, compressed</t>
  </si>
  <si>
    <t xml:space="preserve">Audio, lossless / hi-res</t>
  </si>
  <si>
    <t xml:space="preserve">Radiology retrievals / patient-mo</t>
  </si>
  <si>
    <t xml:space="preserve">Rent — Monthly Network Cost of One Shard</t>
  </si>
  <si>
    <t xml:space="preserve">Builds the all-in monthly cost C that rent amortizes.  Linked to Assumptions.</t>
  </si>
  <si>
    <t xml:space="preserve">Resource</t>
  </si>
  <si>
    <t xml:space="preserve">Quantity</t>
  </si>
  <si>
    <t xml:space="preserve">Unit price ($)</t>
  </si>
  <si>
    <t xml:space="preserve">Monthly cost ($)</t>
  </si>
  <si>
    <t xml:space="preserve">Compute (OCPU)</t>
  </si>
  <si>
    <t xml:space="preserve">Memory (GB)</t>
  </si>
  <si>
    <t xml:space="preserve">Block storage (GB)</t>
  </si>
  <si>
    <t xml:space="preserve">Egress (&lt;=10TB free)</t>
  </si>
  <si>
    <t xml:space="preserve">Subtotal</t>
  </si>
  <si>
    <t xml:space="preserve">All-in monthly cost  C</t>
  </si>
  <si>
    <t xml:space="preserve">Per-payload cost at dense packing</t>
  </si>
  <si>
    <t xml:space="preserve">Rent — Tenant Density, Base Rent &amp; Split Threshold</t>
  </si>
  <si>
    <t xml:space="preserve">Standing tenants and base rent versus client deployment rate.</t>
  </si>
  <si>
    <t xml:space="preserve">Deploys / day</t>
  </si>
  <si>
    <t xml:space="preserve">Standing tenants</t>
  </si>
  <si>
    <t xml:space="preserve">Hot-table occupancy</t>
  </si>
  <si>
    <t xml:space="preserve">Base rent ($/tenant-mo)</t>
  </si>
  <si>
    <t xml:space="preserve">SPLIT THRESHOLD  (when a shard should divide)</t>
  </si>
  <si>
    <t xml:space="preserve">Split overhead K (probe-equiv)</t>
  </si>
  <si>
    <t xml:space="preserve">Conventional open addressing  α*</t>
  </si>
  <si>
    <t xml:space="preserve">Elastic constant C</t>
  </si>
  <si>
    <t xml:space="preserve">Elastic hashing  α*  (FKK 2025)</t>
  </si>
  <si>
    <t xml:space="preserve">Rent — Solvency Grid</t>
  </si>
  <si>
    <t xml:space="preserve">Net rent = base rent(D) − access fee.  Green = self-sustaining (surplus).</t>
  </si>
  <si>
    <t xml:space="preserve">Deploys/day \ fee</t>
  </si>
  <si>
    <t xml:space="preserve">AI (ASI Alliance) — the growth engine</t>
  </si>
  <si>
    <t xml:space="preserve">Unbounded, machine-generated volume.  Anchors the rollout.</t>
  </si>
  <si>
    <t xml:space="preserve">PARAMETERS</t>
  </si>
  <si>
    <t xml:space="preserve">Fee r_tx ($/tx)</t>
  </si>
  <si>
    <t xml:space="preserve">Compliance multiplier</t>
  </si>
  <si>
    <t xml:space="preserve">All-in cost C ($/shard-mo)</t>
  </si>
  <si>
    <t xml:space="preserve">Effective cost C_eff ($/shard-mo)</t>
  </si>
  <si>
    <t xml:space="preserve">Dense capacity (tx/shard-mo)</t>
  </si>
  <si>
    <t xml:space="preserve">Transactions per agent / month</t>
  </si>
  <si>
    <t xml:space="preserve">Break-even traffic (tx/mo)</t>
  </si>
  <si>
    <t xml:space="preserve">Break-even load (% of shard)</t>
  </si>
  <si>
    <t xml:space="preserve">Year</t>
  </si>
  <si>
    <t xml:space="preserve">Agents</t>
  </si>
  <si>
    <t xml:space="preserve">Monthly tx</t>
  </si>
  <si>
    <t xml:space="preserve">Shards</t>
  </si>
  <si>
    <t xml:space="preserve">Cost ($)</t>
  </si>
  <si>
    <t xml:space="preserve">Revenue ($)</t>
  </si>
  <si>
    <t xml:space="preserve">Margin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</si>
  <si>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</si>
  <si>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</si>
  <si>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</si>
  <si>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</si>
  <si>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</si>
  <si>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Fintech (Boring Financial) — the density engine</t>
  </si>
  <si>
    <t xml:space="preserve">Highest revenue density.  Fee is bimodal: model instrument classes separately.</t>
  </si>
  <si>
    <t xml:space="preserve">Headroom capacity (tx/shard-mo)</t>
  </si>
  <si>
    <t xml:space="preserve">Medical (VA) — the cohort-capped annuity</t>
  </si>
  <si>
    <t xml:space="preserve">Logistic growth, hard cohort ceiling, highest assurance.  Deploys last.</t>
  </si>
  <si>
    <t xml:space="preserve">Enrolled cohort (veterans)</t>
  </si>
  <si>
    <t xml:space="preserve">Target share</t>
  </si>
  <si>
    <t xml:space="preserve">Target patients</t>
  </si>
  <si>
    <t xml:space="preserve">$/patient/month (R)</t>
  </si>
  <si>
    <t xml:space="preserve">tx/patient/month (τ)</t>
  </si>
  <si>
    <t xml:space="preserve">Break-even patients</t>
  </si>
  <si>
    <t xml:space="preserve">Patients per shard</t>
  </si>
  <si>
    <t xml:space="preserve">Patients</t>
  </si>
  <si>
    <t xml:space="preserve">Annual rev ($)</t>
  </si>
  <si>
    <t xml:space="preserve">Annual cost ($)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</si>
  <si>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</si>
  <si>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</si>
  <si>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</si>
  <si>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</si>
  <si>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</si>
  <si>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Decade total</t>
  </si>
  <si>
    <t xml:space="preserve">Music — the cold-tail fill</t>
  </si>
  <si>
    <t xml:space="preserve">Ten-artist indie stable.  High margin but roster-fragile; ideal as packing, not anchor.</t>
  </si>
  <si>
    <t xml:space="preserve">Artists in stable</t>
  </si>
  <si>
    <t xml:space="preserve">Followers per artist</t>
  </si>
  <si>
    <t xml:space="preserve">Plays per audient / month</t>
  </si>
  <si>
    <t xml:space="preserve">Total plays / month</t>
  </si>
  <si>
    <t xml:space="preserve">Fee r_tx ($/play)</t>
  </si>
  <si>
    <t xml:space="preserve">Shards (per-play, on-chain)</t>
  </si>
  <si>
    <t xml:space="preserve">Cost ($/mo)</t>
  </si>
  <si>
    <t xml:space="preserve">Break-even fee ($/play)</t>
  </si>
  <si>
    <t xml:space="preserve">FEE SENSITIVITY (per-play, on-chain)</t>
  </si>
  <si>
    <t xml:space="preserve">Fee / play ($)</t>
  </si>
  <si>
    <t xml:space="preserve">BATCHED SETTLEMENT ALTERNATIVE</t>
  </si>
  <si>
    <t xml:space="preserve">Batch ratio (plays : settlement)</t>
  </si>
  <si>
    <t xml:space="preserve">Batched tx / month</t>
  </si>
  <si>
    <t xml:space="preserve">Batched shards</t>
  </si>
  <si>
    <t xml:space="preserve">Batched cost ($/mo)</t>
  </si>
  <si>
    <t xml:space="preserve">Effective take / settlement ($)</t>
  </si>
  <si>
    <t xml:space="preserve">Batched revenue ($/mo)</t>
  </si>
  <si>
    <t xml:space="preserve">Batched margin</t>
  </si>
  <si>
    <t xml:space="preserve">Web 2.0 — participatory advertising</t>
  </si>
  <si>
    <t xml:space="preserve">Users pay network cost in tokenised impressions; one impression covers ~20 payloads.</t>
  </si>
  <si>
    <t xml:space="preserve">Per-payload cost ($)</t>
  </si>
  <si>
    <t xml:space="preserve">Display CPM ($)</t>
  </si>
  <si>
    <t xml:space="preserve">Per-impression value ($)</t>
  </si>
  <si>
    <t xml:space="preserve">Payloads covered per impression</t>
  </si>
  <si>
    <t xml:space="preserve">Property</t>
  </si>
  <si>
    <t xml:space="preserve">Users</t>
  </si>
  <si>
    <t xml:space="preserve">Payloads/mo</t>
  </si>
  <si>
    <t xml:space="preserve">Infra cost ($/mo)</t>
  </si>
  <si>
    <t xml:space="preserve">Payloads/user-mo</t>
  </si>
  <si>
    <t xml:space="preserve">Cost/user-mo ($)</t>
  </si>
  <si>
    <t xml:space="preserve">Break-even ads/user/day</t>
  </si>
  <si>
    <t xml:space="preserve">Gmail</t>
  </si>
  <si>
    <t xml:space="preserve">Maps</t>
  </si>
  <si>
    <t xml:space="preserve">Docs</t>
  </si>
  <si>
    <t xml:space="preserve">PRIVACY WEDGE &amp; THIN-MARGIN ECONOMICS</t>
  </si>
  <si>
    <t xml:space="preserve">Gmail privacy slice (%)</t>
  </si>
  <si>
    <t xml:space="preserve">Wedge users</t>
  </si>
  <si>
    <t xml:space="preserve">Wedge payloads/mo</t>
  </si>
  <si>
    <t xml:space="preserve">Wedge shards</t>
  </si>
  <si>
    <t xml:space="preserve">Wedge infra ($/mo)</t>
  </si>
  <si>
    <t xml:space="preserve">Per-payload take ($)</t>
  </si>
  <si>
    <t xml:space="preserve">Gmail-scale monthly take ($)</t>
  </si>
  <si>
    <t xml:space="preserve">Customer Acquisition — Wholesale (anchor) vs Retail (D2C)</t>
  </si>
  <si>
    <t xml:space="preserve">Court anchors, not heads.  CAC/head = A / (population x conversion).</t>
  </si>
  <si>
    <t xml:space="preserve">BENCHMARKS &amp; LEVERS</t>
  </si>
  <si>
    <t xml:space="preserve">Facebook D2C CAC ($/head)</t>
  </si>
  <si>
    <t xml:space="preserve">WhatsApp D2C CAC ($/head)</t>
  </si>
  <si>
    <t xml:space="preserve">Cross-market multiplier m</t>
  </si>
  <si>
    <t xml:space="preserve">Channel / anchor</t>
  </si>
  <si>
    <t xml:space="preserve">A ($)</t>
  </si>
  <si>
    <t xml:space="preserve">Population/anchor</t>
  </si>
  <si>
    <t xml:space="preserve">Conversion c</t>
  </si>
  <si>
    <t xml:space="preserve">Heads acquired</t>
  </si>
  <si>
    <t xml:space="preserve">CAC/head ($)</t>
  </si>
  <si>
    <t xml:space="preserve">x vs WhatsApp</t>
  </si>
  <si>
    <t xml:space="preserve">x vs Facebook</t>
  </si>
  <si>
    <t xml:space="preserve">Music — inbound</t>
  </si>
  <si>
    <t xml:space="preserve">Music — mid</t>
  </si>
  <si>
    <t xml:space="preserve">Music — conservative</t>
  </si>
  <si>
    <t xml:space="preserve">Healthcare — mid hospital</t>
  </si>
  <si>
    <t xml:space="preserve">VA — conservative</t>
  </si>
  <si>
    <t xml:space="preserve">VA — heavy gov. sale</t>
  </si>
  <si>
    <t xml:space="preserve">LTV &amp; PAYBACK</t>
  </si>
  <si>
    <t xml:space="preserve">Channel</t>
  </si>
  <si>
    <t xml:space="preserve">LTV ($/head-mo)</t>
  </si>
  <si>
    <t xml:space="preserve">Payback (mo, 1 market)</t>
  </si>
  <si>
    <t xml:space="preserve">Eff. CAC w/ cross-mkt ($)</t>
  </si>
  <si>
    <t xml:space="preserve">Payback (mo, cross-mkt)</t>
  </si>
  <si>
    <t xml:space="preserve">Music (conservative)</t>
  </si>
  <si>
    <t xml:space="preserve">Healthcare (VA conservative)</t>
  </si>
  <si>
    <t xml:space="preserve">Note: music's true cross-market LTV is dominated by direct artist sales (a $10 album at a 3% fee = $0.30), not 4x streaming; m is a coarse lever.</t>
  </si>
  <si>
    <t xml:space="preserve">Connector Shard — Cross-Shard Interchange</t>
  </si>
  <si>
    <t xml:space="preserve">Where F1R3FLY taxes value moving between shards.  Revenue ~ volume x chi x fee.</t>
  </si>
  <si>
    <t xml:space="preserve">Core cross-shard fee r_x ($/tx)</t>
  </si>
  <si>
    <t xml:space="preserve">Core effective χ</t>
  </si>
  <si>
    <t xml:space="preserve">Web 2.0 cross-shard fee ($/payload)</t>
  </si>
  <si>
    <t xml:space="preserve">Web 2.0 effective χ</t>
  </si>
  <si>
    <t xml:space="preserve">CONNECTABLE VOLUME (mature, linked from sector tabs)</t>
  </si>
  <si>
    <t xml:space="preserve">AI (year 5)</t>
  </si>
  <si>
    <t xml:space="preserve">Fintech (year 5)</t>
  </si>
  <si>
    <t xml:space="preserve">Medical (plateau)</t>
  </si>
  <si>
    <t xml:space="preserve">Music (plays)</t>
  </si>
  <si>
    <t xml:space="preserve">Core total (tx/mo)</t>
  </si>
  <si>
    <t xml:space="preserve">Web 2.0 payloads (if connected)</t>
  </si>
  <si>
    <t xml:space="preserve">CONNECTOR ECONOMICS</t>
  </si>
  <si>
    <t xml:space="preserve">Core cross-shard tx / mo</t>
  </si>
  <si>
    <t xml:space="preserve">Core connector revenue / mo</t>
  </si>
  <si>
    <t xml:space="preserve">Web 2.0 cross-shard tx / mo</t>
  </si>
  <si>
    <t xml:space="preserve">Web 2.0 connector revenue / mo</t>
  </si>
  <si>
    <t xml:space="preserve">Total connector revenue / mo</t>
  </si>
  <si>
    <t xml:space="preserve">Connector infra shards</t>
  </si>
  <si>
    <t xml:space="preserve">Connector cost / mo</t>
  </si>
  <si>
    <t xml:space="preserve">Connector margin</t>
  </si>
  <si>
    <t xml:space="preserve">METCALFE:  χ -&gt; (n-1)/n  grows the core tax base</t>
  </si>
  <si>
    <t xml:space="preserve">Connected shards n</t>
  </si>
  <si>
    <t xml:space="preserve">χ = (n-1)/n</t>
  </si>
  <si>
    <t xml:space="preserve">Core connector rev/mo</t>
  </si>
  <si>
    <t xml:space="preserve">Bandwidth — Media Egress (the per-byte exception)</t>
  </si>
  <si>
    <t xml:space="preserve">Egress = payload size x moves x rate.  Negligible for text; dominant for imaging/lossless audio.</t>
  </si>
  <si>
    <t xml:space="preserve">PARAMETERS (linked from Assumptions)</t>
  </si>
  <si>
    <t xml:space="preserve">Internet egress ($/GB)</t>
  </si>
  <si>
    <t xml:space="preserve">CDN / edge egress ($/GB)</t>
  </si>
  <si>
    <t xml:space="preserve">Inter-region egress ($/GB)</t>
  </si>
  <si>
    <t xml:space="preserve">Free egress tier (TB/mo)</t>
  </si>
  <si>
    <t xml:space="preserve">Note: first 10TB/mo free (per tenancy); Oracle reportedly moved to free egress across all regions Feb 2026. Figures below are marginal egress at scale (free tier negligible).</t>
  </si>
  <si>
    <t xml:space="preserve">EGRESS BY SCENARIO</t>
  </si>
  <si>
    <t xml:space="preserve">Scenario</t>
  </si>
  <si>
    <t xml:space="preserve">Payload (MB)</t>
  </si>
  <si>
    <t xml:space="preserve">GB moved/mo</t>
  </si>
  <si>
    <t xml:space="preserve">Egress @ internet ($/mo)</t>
  </si>
  <si>
    <t xml:space="preserve">Egress @ CDN ($/mo)</t>
  </si>
  <si>
    <t xml:space="preserve">Egress/payload ($)</t>
  </si>
  <si>
    <t xml:space="preserve">% of sector rev</t>
  </si>
  <si>
    <t xml:space="preserve">Radiology (medical imaging)</t>
  </si>
  <si>
    <t xml:space="preserve">Music, compressed</t>
  </si>
  <si>
    <t xml:space="preserve">Music, lossless / hi-res</t>
  </si>
  <si>
    <t xml:space="preserve">Transactional (AI / fintech / EHR record)</t>
  </si>
  <si>
    <t xml:space="preserve">negligible</t>
  </si>
  <si>
    <t xml:space="preserve">MUSIC: BANDWIDTH-INCLUSIVE BREAK-EVEN FEE</t>
  </si>
  <si>
    <t xml:space="preserve">Music shard+compute cost ($/mo)</t>
  </si>
  <si>
    <t xml:space="preserve">Break-even fee, compressed ($/play)</t>
  </si>
  <si>
    <t xml:space="preserve">Break-even fee, lossless ($/play)</t>
  </si>
  <si>
    <t xml:space="preserve">Current streaming fee ($/play)</t>
  </si>
  <si>
    <t xml:space="preserve">Note: lossless exceeds the streaming fee -- needs a higher fee or edge caching.</t>
  </si>
  <si>
    <t xml:space="preserve">Summary — Five Sectors plus Web 2.0</t>
  </si>
  <si>
    <t xml:space="preserve">Break-even loads link live to each sector tab.</t>
  </si>
  <si>
    <t xml:space="preserve">Sector</t>
  </si>
  <si>
    <t xml:space="preserve">Revenue density</t>
  </si>
  <si>
    <t xml:space="preserve">Risk</t>
  </si>
  <si>
    <t xml:space="preserve">Boundedness</t>
  </si>
  <si>
    <t xml:space="preserve">Break-even load</t>
  </si>
  <si>
    <t xml:space="preserve">Strategic role</t>
  </si>
  <si>
    <t xml:space="preserve">$0.01 / tx</t>
  </si>
  <si>
    <t xml:space="preserve">low–mod</t>
  </si>
  <si>
    <t xml:space="preserve">none (machine vol.)</t>
  </si>
  <si>
    <t xml:space="preserve">anchor / growth</t>
  </si>
  <si>
    <t xml:space="preserve">~$0.25 / tx</t>
  </si>
  <si>
    <t xml:space="preserve">high</t>
  </si>
  <si>
    <t xml:space="preserve">semi-bounded</t>
  </si>
  <si>
    <t xml:space="preserve">margin engine</t>
  </si>
  <si>
    <t xml:space="preserve">high / patient</t>
  </si>
  <si>
    <t xml:space="preserve">highest</t>
  </si>
  <si>
    <t xml:space="preserve">hard cohort cap</t>
  </si>
  <si>
    <t xml:space="preserve">cash-cow annuity</t>
  </si>
  <si>
    <t xml:space="preserve">$0.0003 / tx</t>
  </si>
  <si>
    <t xml:space="preserve">low</t>
  </si>
  <si>
    <t xml:space="preserve">roster-dependent</t>
  </si>
  <si>
    <t xml:space="preserve">~near full</t>
  </si>
  <si>
    <t xml:space="preserve">cold-tail fill</t>
  </si>
  <si>
    <t xml:space="preserve">Web 2.0</t>
  </si>
  <si>
    <t xml:space="preserve">ad-funded</t>
  </si>
  <si>
    <t xml:space="preserve">astronomical</t>
  </si>
  <si>
    <t xml:space="preserve">~3 ads/day</t>
  </si>
  <si>
    <t xml:space="preserve">mass-market moat</t>
  </si>
  <si>
    <t xml:space="preserve">Rollout order:</t>
  </si>
  <si>
    <t xml:space="preserve">AI (anchor) → Fintech (margin) → Medical (annuity); Music = continuous fill; Web 2.0 = mass-market substrate via privacy wedge.</t>
  </si>
  <si>
    <t xml:space="preserve">Cross-cutting:</t>
  </si>
  <si>
    <t xml:space="preserve">CAC tab = wholesale (anchor) acquisition economics.  Connector tab = the cross-shard interchange where the network monetises interoperability — the apex revenue layer at scale.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</si>
</sst>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00"/>
    <numFmt numFmtId="166" formatCode="0.0%"/>
    <numFmt numFmtId="167" formatCode="#,##0"/>
    <numFmt numFmtId="168" formatCode="\$#,##0.00"/>
    <numFmt numFmtId="169" formatCode="\$#,##0.000000"/>
    <numFmt numFmtId="170" formatCode="0.0\x"/>
    <numFmt numFmtId="171" formatCode="\$#,##0"/>
    <numFmt numFmtId="172" formatCode="0.00%"/>
    <numFmt numFmtId="173" formatCode="#,##0.0"/>
    <numFmt numFmtId="174" formatCode="#,##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D7263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6B6B6B"/>
      <name val="Arial"/>
      <family val="0"/>
      <charset val="1"/>
    </font>
    <font>
      <sz val="9"/>
      <color rgb="FFD726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7263D"/>
        <bgColor rgb="FF993366"/>
      </patternFill>
    </fill>
    <fill>
      <patternFill patternType="solid">
        <fgColor rgb="FFF7E3D7"/>
        <bgColor rgb="FFFBE9EC"/>
      </patternFill>
    </fill>
    <fill>
      <patternFill patternType="solid">
        <fgColor rgb="FFFFF6C8"/>
        <bgColor rgb="FFFBE9EC"/>
      </patternFill>
    </fill>
    <fill>
      <patternFill patternType="solid">
        <fgColor rgb="FF161616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BE9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7263D"/>
      <rgbColor rgb="FFFFF6C8"/>
      <rgbColor rgb="FFFB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7E3D7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161616"/>
      <rgbColor rgb="FF0061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  <c r="D3" s="6" t="s">
        <v>5</v>
      </c>
    </row>
    <row r="5" customFormat="false" ht="15" hidden="false" customHeight="false" outlineLevel="0" collapsed="false">
      <c r="A5" s="7" t="s">
        <v>6</v>
      </c>
      <c r="B5" s="7"/>
      <c r="C5" s="7"/>
      <c r="D5" s="7"/>
    </row>
    <row r="6" customFormat="false" ht="15" hidden="false" customHeight="false" outlineLevel="0" collapsed="false">
      <c r="A6" s="8" t="s">
        <v>7</v>
      </c>
      <c r="B6" s="9" t="n">
        <v>10</v>
      </c>
      <c r="C6" s="10" t="s">
        <v>8</v>
      </c>
    </row>
    <row r="7" customFormat="false" ht="15" hidden="false" customHeight="false" outlineLevel="0" collapsed="false">
      <c r="A7" s="8" t="s">
        <v>9</v>
      </c>
      <c r="B7" s="9" t="n">
        <v>16</v>
      </c>
      <c r="C7" s="10" t="s">
        <v>10</v>
      </c>
    </row>
    <row r="8" customFormat="false" ht="15" hidden="false" customHeight="false" outlineLevel="0" collapsed="false">
      <c r="A8" s="8" t="s">
        <v>11</v>
      </c>
      <c r="B8" s="9" t="n">
        <v>16</v>
      </c>
      <c r="C8" s="10" t="s">
        <v>12</v>
      </c>
    </row>
    <row r="9" customFormat="false" ht="15" hidden="false" customHeight="false" outlineLevel="0" collapsed="false">
      <c r="A9" s="8" t="s">
        <v>13</v>
      </c>
      <c r="B9" s="9" t="n">
        <v>2</v>
      </c>
      <c r="C9" s="10" t="s">
        <v>14</v>
      </c>
    </row>
    <row r="10" customFormat="false" ht="15" hidden="false" customHeight="false" outlineLevel="0" collapsed="false">
      <c r="A10" s="8" t="s">
        <v>15</v>
      </c>
      <c r="B10" s="9" t="n">
        <v>730</v>
      </c>
      <c r="C10" s="10" t="s">
        <v>16</v>
      </c>
    </row>
    <row r="11" customFormat="false" ht="15" hidden="false" customHeight="false" outlineLevel="0" collapsed="false">
      <c r="A11" s="8" t="s">
        <v>17</v>
      </c>
      <c r="B11" s="11" t="n">
        <v>0.025</v>
      </c>
      <c r="C11" s="10" t="s">
        <v>18</v>
      </c>
    </row>
    <row r="12" customFormat="false" ht="15" hidden="false" customHeight="false" outlineLevel="0" collapsed="false">
      <c r="A12" s="8" t="s">
        <v>19</v>
      </c>
      <c r="B12" s="11" t="n">
        <v>0.0015</v>
      </c>
      <c r="C12" s="10" t="s">
        <v>20</v>
      </c>
    </row>
    <row r="13" customFormat="false" ht="15" hidden="false" customHeight="false" outlineLevel="0" collapsed="false">
      <c r="A13" s="8" t="s">
        <v>21</v>
      </c>
      <c r="B13" s="11" t="n">
        <v>0.0255</v>
      </c>
      <c r="C13" s="10" t="s">
        <v>22</v>
      </c>
    </row>
    <row r="14" customFormat="false" ht="15" hidden="false" customHeight="false" outlineLevel="0" collapsed="false">
      <c r="A14" s="8" t="s">
        <v>23</v>
      </c>
      <c r="B14" s="12" t="n">
        <v>0.15</v>
      </c>
      <c r="C14" s="10" t="s">
        <v>24</v>
      </c>
    </row>
    <row r="15" customFormat="false" ht="15" hidden="false" customHeight="false" outlineLevel="0" collapsed="false">
      <c r="A15" s="8" t="s">
        <v>25</v>
      </c>
      <c r="B15" s="9" t="n">
        <v>1</v>
      </c>
      <c r="C15" s="10" t="s">
        <v>26</v>
      </c>
    </row>
    <row r="16" customFormat="false" ht="15" hidden="false" customHeight="false" outlineLevel="0" collapsed="false">
      <c r="A16" s="8" t="s">
        <v>27</v>
      </c>
      <c r="B16" s="9" t="n">
        <v>5</v>
      </c>
      <c r="C16" s="10" t="s">
        <v>28</v>
      </c>
    </row>
    <row r="18" customFormat="false" ht="15" hidden="false" customHeight="false" outlineLevel="0" collapsed="false">
      <c r="A18" s="7" t="s">
        <v>29</v>
      </c>
      <c r="B18" s="7"/>
      <c r="C18" s="7"/>
      <c r="D18" s="7"/>
    </row>
    <row r="19" customFormat="false" ht="15" hidden="false" customHeight="false" outlineLevel="0" collapsed="false">
      <c r="A19" s="8" t="s">
        <v>30</v>
      </c>
      <c r="B19" s="13" t="n">
        <v>30000000</v>
      </c>
      <c r="C19" s="10" t="s">
        <v>31</v>
      </c>
    </row>
    <row r="20" customFormat="false" ht="15" hidden="false" customHeight="false" outlineLevel="0" collapsed="false">
      <c r="A20" s="8" t="s">
        <v>32</v>
      </c>
      <c r="B20" s="13" t="n">
        <v>20000000</v>
      </c>
      <c r="C20" s="10" t="s">
        <v>31</v>
      </c>
    </row>
    <row r="21" customFormat="false" ht="15" hidden="false" customHeight="false" outlineLevel="0" collapsed="false">
      <c r="A21" s="8" t="s">
        <v>33</v>
      </c>
      <c r="B21" s="14" t="n">
        <f aca="false">B6*B8*1000000000/(B15*1000)</f>
        <v>160000000</v>
      </c>
      <c r="C21" s="10" t="s">
        <v>34</v>
      </c>
    </row>
    <row r="23" customFormat="false" ht="15" hidden="false" customHeight="false" outlineLevel="0" collapsed="false">
      <c r="A23" s="7" t="s">
        <v>35</v>
      </c>
      <c r="B23" s="7"/>
      <c r="C23" s="7"/>
      <c r="D23" s="7"/>
    </row>
    <row r="24" customFormat="false" ht="15" hidden="false" customHeight="false" outlineLevel="0" collapsed="false">
      <c r="A24" s="8" t="s">
        <v>36</v>
      </c>
      <c r="B24" s="15" t="n">
        <v>3</v>
      </c>
      <c r="C24" s="10" t="s">
        <v>37</v>
      </c>
    </row>
    <row r="25" customFormat="false" ht="15" hidden="false" customHeight="false" outlineLevel="0" collapsed="false">
      <c r="A25" s="8" t="s">
        <v>38</v>
      </c>
      <c r="B25" s="16" t="n">
        <f aca="false">B24/1000</f>
        <v>0.003</v>
      </c>
      <c r="C25" s="10" t="s">
        <v>39</v>
      </c>
    </row>
    <row r="27" customFormat="false" ht="15" hidden="false" customHeight="false" outlineLevel="0" collapsed="false">
      <c r="A27" s="7" t="s">
        <v>40</v>
      </c>
      <c r="B27" s="7"/>
      <c r="C27" s="7"/>
      <c r="D27" s="7"/>
    </row>
    <row r="28" customFormat="false" ht="15" hidden="false" customHeight="false" outlineLevel="0" collapsed="false">
      <c r="A28" s="8" t="s">
        <v>41</v>
      </c>
      <c r="B28" s="11" t="n">
        <v>0.01</v>
      </c>
      <c r="C28" s="10" t="s">
        <v>42</v>
      </c>
    </row>
    <row r="29" customFormat="false" ht="15" hidden="false" customHeight="false" outlineLevel="0" collapsed="false">
      <c r="A29" s="8" t="s">
        <v>43</v>
      </c>
      <c r="B29" s="11" t="n">
        <v>0.25</v>
      </c>
      <c r="C29" s="10" t="s">
        <v>42</v>
      </c>
    </row>
    <row r="30" customFormat="false" ht="15" hidden="false" customHeight="false" outlineLevel="0" collapsed="false">
      <c r="A30" s="8" t="s">
        <v>44</v>
      </c>
      <c r="B30" s="17" t="n">
        <v>0.0003</v>
      </c>
      <c r="C30" s="10" t="s">
        <v>45</v>
      </c>
    </row>
    <row r="31" customFormat="false" ht="15" hidden="false" customHeight="false" outlineLevel="0" collapsed="false">
      <c r="A31" s="8" t="s">
        <v>46</v>
      </c>
      <c r="B31" s="15" t="n">
        <v>1</v>
      </c>
      <c r="C31" s="10" t="s">
        <v>47</v>
      </c>
    </row>
    <row r="32" customFormat="false" ht="15" hidden="false" customHeight="false" outlineLevel="0" collapsed="false">
      <c r="A32" s="8" t="s">
        <v>48</v>
      </c>
      <c r="B32" s="18" t="n">
        <v>50</v>
      </c>
      <c r="C32" s="10" t="s">
        <v>49</v>
      </c>
    </row>
    <row r="33" customFormat="false" ht="15" hidden="false" customHeight="false" outlineLevel="0" collapsed="false">
      <c r="A33" s="8" t="s">
        <v>50</v>
      </c>
      <c r="B33" s="16" t="n">
        <f aca="false">B31/B32</f>
        <v>0.02</v>
      </c>
      <c r="C33" s="10" t="s">
        <v>42</v>
      </c>
    </row>
    <row r="35" customFormat="false" ht="15" hidden="false" customHeight="false" outlineLevel="0" collapsed="false">
      <c r="A35" s="7" t="s">
        <v>51</v>
      </c>
      <c r="B35" s="7"/>
      <c r="C35" s="7"/>
      <c r="D35" s="7"/>
    </row>
    <row r="36" customFormat="false" ht="15" hidden="false" customHeight="false" outlineLevel="0" collapsed="false">
      <c r="A36" s="8" t="s">
        <v>41</v>
      </c>
      <c r="B36" s="19" t="n">
        <v>1.2</v>
      </c>
      <c r="C36" s="10" t="s">
        <v>52</v>
      </c>
    </row>
    <row r="37" customFormat="false" ht="15" hidden="false" customHeight="false" outlineLevel="0" collapsed="false">
      <c r="A37" s="8" t="s">
        <v>44</v>
      </c>
      <c r="B37" s="19" t="n">
        <v>1</v>
      </c>
      <c r="C37" s="10" t="s">
        <v>52</v>
      </c>
    </row>
    <row r="38" customFormat="false" ht="15" hidden="false" customHeight="false" outlineLevel="0" collapsed="false">
      <c r="A38" s="8" t="s">
        <v>53</v>
      </c>
      <c r="B38" s="19" t="n">
        <v>1.5</v>
      </c>
      <c r="C38" s="10" t="s">
        <v>52</v>
      </c>
    </row>
    <row r="39" customFormat="false" ht="15" hidden="false" customHeight="false" outlineLevel="0" collapsed="false">
      <c r="A39" s="8" t="s">
        <v>43</v>
      </c>
      <c r="B39" s="19" t="n">
        <v>2.5</v>
      </c>
      <c r="C39" s="10" t="s">
        <v>52</v>
      </c>
    </row>
    <row r="40" customFormat="false" ht="15" hidden="false" customHeight="false" outlineLevel="0" collapsed="false">
      <c r="A40" s="8" t="s">
        <v>54</v>
      </c>
      <c r="B40" s="19" t="n">
        <v>4</v>
      </c>
      <c r="C40" s="10" t="s">
        <v>52</v>
      </c>
    </row>
    <row r="42" customFormat="false" ht="15" hidden="false" customHeight="false" outlineLevel="0" collapsed="false">
      <c r="A42" s="7" t="s">
        <v>55</v>
      </c>
      <c r="B42" s="7"/>
      <c r="C42" s="7"/>
      <c r="D42" s="7"/>
    </row>
    <row r="43" customFormat="false" ht="15" hidden="false" customHeight="false" outlineLevel="0" collapsed="false">
      <c r="A43" s="8" t="s">
        <v>56</v>
      </c>
      <c r="B43" s="20" t="n">
        <v>0.0085</v>
      </c>
      <c r="C43" s="10" t="s">
        <v>57</v>
      </c>
    </row>
    <row r="44" customFormat="false" ht="15" hidden="false" customHeight="false" outlineLevel="0" collapsed="false">
      <c r="A44" s="8" t="s">
        <v>58</v>
      </c>
      <c r="B44" s="11" t="n">
        <v>0.005</v>
      </c>
      <c r="C44" s="10" t="s">
        <v>57</v>
      </c>
    </row>
    <row r="45" customFormat="false" ht="15" hidden="false" customHeight="false" outlineLevel="0" collapsed="false">
      <c r="A45" s="8" t="s">
        <v>59</v>
      </c>
      <c r="B45" s="11" t="n">
        <v>0.04</v>
      </c>
      <c r="C45" s="10" t="s">
        <v>57</v>
      </c>
    </row>
    <row r="46" customFormat="false" ht="15" hidden="false" customHeight="false" outlineLevel="0" collapsed="false">
      <c r="A46" s="8" t="s">
        <v>60</v>
      </c>
      <c r="B46" s="18" t="n">
        <v>10</v>
      </c>
      <c r="C46" s="10" t="s">
        <v>61</v>
      </c>
    </row>
    <row r="48" customFormat="false" ht="15" hidden="false" customHeight="false" outlineLevel="0" collapsed="false">
      <c r="A48" s="7" t="s">
        <v>62</v>
      </c>
      <c r="B48" s="7"/>
      <c r="C48" s="7"/>
      <c r="D48" s="7"/>
    </row>
    <row r="49" customFormat="false" ht="15" hidden="false" customHeight="false" outlineLevel="0" collapsed="false">
      <c r="A49" s="8" t="s">
        <v>63</v>
      </c>
      <c r="B49" s="18" t="n">
        <v>250</v>
      </c>
      <c r="C49" s="10" t="s">
        <v>64</v>
      </c>
    </row>
    <row r="50" customFormat="false" ht="15" hidden="false" customHeight="false" outlineLevel="0" collapsed="false">
      <c r="A50" s="8" t="s">
        <v>65</v>
      </c>
      <c r="B50" s="18" t="n">
        <v>4</v>
      </c>
      <c r="C50" s="10" t="s">
        <v>64</v>
      </c>
    </row>
    <row r="51" customFormat="false" ht="15" hidden="false" customHeight="false" outlineLevel="0" collapsed="false">
      <c r="A51" s="8" t="s">
        <v>66</v>
      </c>
      <c r="B51" s="18" t="n">
        <v>40</v>
      </c>
      <c r="C51" s="10" t="s">
        <v>64</v>
      </c>
    </row>
    <row r="52" customFormat="false" ht="15" hidden="false" customHeight="false" outlineLevel="0" collapsed="false">
      <c r="A52" s="8" t="s">
        <v>67</v>
      </c>
      <c r="B52" s="18" t="n">
        <v>5</v>
      </c>
      <c r="C52" s="10" t="s">
        <v>28</v>
      </c>
    </row>
  </sheetData>
  <mergeCells count="9">
    <mergeCell ref="A1:D1"/>
    <mergeCell ref="A2:D2"/>
    <mergeCell ref="A5:D5"/>
    <mergeCell ref="A18:D18"/>
    <mergeCell ref="A23:D23"/>
    <mergeCell ref="A27:D27"/>
    <mergeCell ref="A35:D35"/>
    <mergeCell ref="A42:D42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 t="s">
        <v>68</v>
      </c>
      <c r="B1" s="1"/>
      <c r="C1" s="1"/>
      <c r="D1" s="1"/>
    </row>
    <row r="2" customFormat="false" ht="15" hidden="false" customHeight="false" outlineLevel="0" collapsed="false">
      <c r="A2" s="2" t="s">
        <v>69</v>
      </c>
      <c r="B2" s="2"/>
      <c r="C2" s="2"/>
      <c r="D2" s="2"/>
    </row>
    <row r="4" customFormat="false" ht="27.75" hidden="false" customHeight="true" outlineLevel="0" collapsed="false">
      <c r="A4" s="21" t="s">
        <v>70</v>
      </c>
      <c r="B4" s="21" t="s">
        <v>71</v>
      </c>
      <c r="C4" s="21" t="s">
        <v>72</v>
      </c>
      <c r="D4" s="21" t="s">
        <v>73</v>
      </c>
    </row>
    <row r="5" customFormat="false" ht="15" hidden="false" customHeight="false" outlineLevel="0" collapsed="false">
      <c r="A5" s="8" t="s">
        <v>74</v>
      </c>
      <c r="B5" s="22" t="n">
        <f aca="false">Assumptions!$B$6*Assumptions!$B$7</f>
        <v>160</v>
      </c>
      <c r="C5" s="23" t="n">
        <f aca="false">Assumptions!$B$11</f>
        <v>0.025</v>
      </c>
      <c r="D5" s="24" t="n">
        <f aca="false">B5*C5*Assumptions!$B$10</f>
        <v>2920</v>
      </c>
    </row>
    <row r="6" customFormat="false" ht="15" hidden="false" customHeight="false" outlineLevel="0" collapsed="false">
      <c r="A6" s="8" t="s">
        <v>75</v>
      </c>
      <c r="B6" s="22" t="n">
        <f aca="false">Assumptions!$B$6*Assumptions!$B$8</f>
        <v>160</v>
      </c>
      <c r="C6" s="23" t="n">
        <f aca="false">Assumptions!$B$12</f>
        <v>0.0015</v>
      </c>
      <c r="D6" s="24" t="n">
        <f aca="false">B6*C6*Assumptions!$B$10</f>
        <v>175.2</v>
      </c>
    </row>
    <row r="7" customFormat="false" ht="15" hidden="false" customHeight="false" outlineLevel="0" collapsed="false">
      <c r="A7" s="8" t="s">
        <v>76</v>
      </c>
      <c r="B7" s="22" t="n">
        <f aca="false">Assumptions!$B$6*Assumptions!$B$9*1024</f>
        <v>20480</v>
      </c>
      <c r="C7" s="23" t="n">
        <f aca="false">Assumptions!$B$13</f>
        <v>0.0255</v>
      </c>
      <c r="D7" s="24" t="n">
        <f aca="false">B7*C7</f>
        <v>522.24</v>
      </c>
    </row>
    <row r="8" customFormat="false" ht="15" hidden="false" customHeight="false" outlineLevel="0" collapsed="false">
      <c r="A8" s="8" t="s">
        <v>77</v>
      </c>
      <c r="B8" s="22" t="n">
        <v>0</v>
      </c>
      <c r="C8" s="23" t="n">
        <v>0</v>
      </c>
      <c r="D8" s="24" t="n">
        <v>0</v>
      </c>
    </row>
    <row r="9" customFormat="false" ht="15" hidden="false" customHeight="false" outlineLevel="0" collapsed="false">
      <c r="A9" s="25" t="s">
        <v>78</v>
      </c>
      <c r="D9" s="26" t="n">
        <f aca="false">SUM(D5:D8)</f>
        <v>3617.44</v>
      </c>
    </row>
    <row r="10" customFormat="false" ht="15" hidden="false" customHeight="false" outlineLevel="0" collapsed="false">
      <c r="A10" s="8" t="s">
        <v>23</v>
      </c>
      <c r="C10" s="27" t="n">
        <f aca="false">Assumptions!$B$14</f>
        <v>0.15</v>
      </c>
      <c r="D10" s="24" t="n">
        <f aca="false">D9*C10</f>
        <v>542.616</v>
      </c>
    </row>
    <row r="11" customFormat="false" ht="15" hidden="false" customHeight="false" outlineLevel="0" collapsed="false">
      <c r="A11" s="28" t="s">
        <v>79</v>
      </c>
      <c r="D11" s="29" t="n">
        <f aca="false">D9+D10</f>
        <v>4160.056</v>
      </c>
    </row>
    <row r="13" customFormat="false" ht="15" hidden="false" customHeight="false" outlineLevel="0" collapsed="false">
      <c r="A13" s="25" t="s">
        <v>80</v>
      </c>
      <c r="D13" s="30" t="n">
        <f aca="false">D11/Assumptions!$B$19</f>
        <v>0.000138668533333333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81</v>
      </c>
      <c r="B1" s="1"/>
      <c r="C1" s="1"/>
      <c r="D1" s="1"/>
    </row>
    <row r="2" customFormat="false" ht="15" hidden="false" customHeight="false" outlineLevel="0" collapsed="false">
      <c r="A2" s="2" t="s">
        <v>82</v>
      </c>
      <c r="B2" s="2"/>
      <c r="C2" s="2"/>
      <c r="D2" s="2"/>
    </row>
    <row r="4" customFormat="false" ht="27.75" hidden="false" customHeight="true" outlineLevel="0" collapsed="false">
      <c r="A4" s="21" t="s">
        <v>83</v>
      </c>
      <c r="B4" s="21" t="s">
        <v>84</v>
      </c>
      <c r="C4" s="21" t="s">
        <v>85</v>
      </c>
      <c r="D4" s="21" t="s">
        <v>86</v>
      </c>
    </row>
    <row r="5" customFormat="false" ht="15" hidden="false" customHeight="false" outlineLevel="0" collapsed="false">
      <c r="A5" s="18" t="n">
        <v>100</v>
      </c>
      <c r="B5" s="14" t="n">
        <f aca="false">A5*30*Assumptions!$B$16</f>
        <v>15000</v>
      </c>
      <c r="C5" s="31" t="n">
        <f aca="false">B5/Assumptions!$B$21</f>
        <v>9.375E-005</v>
      </c>
      <c r="D5" s="32" t="n">
        <f aca="false">'Rent Cost Model'!$D$11/B5</f>
        <v>0.277337066666667</v>
      </c>
    </row>
    <row r="6" customFormat="false" ht="15" hidden="false" customHeight="false" outlineLevel="0" collapsed="false">
      <c r="A6" s="18" t="n">
        <v>1000</v>
      </c>
      <c r="B6" s="14" t="n">
        <f aca="false">A6*30*Assumptions!$B$16</f>
        <v>150000</v>
      </c>
      <c r="C6" s="31" t="n">
        <f aca="false">B6/Assumptions!$B$21</f>
        <v>0.0009375</v>
      </c>
      <c r="D6" s="32" t="n">
        <f aca="false">'Rent Cost Model'!$D$11/B6</f>
        <v>0.0277337066666667</v>
      </c>
    </row>
    <row r="7" customFormat="false" ht="15" hidden="false" customHeight="false" outlineLevel="0" collapsed="false">
      <c r="A7" s="18" t="n">
        <v>10000</v>
      </c>
      <c r="B7" s="14" t="n">
        <f aca="false">A7*30*Assumptions!$B$16</f>
        <v>1500000</v>
      </c>
      <c r="C7" s="31" t="n">
        <f aca="false">B7/Assumptions!$B$21</f>
        <v>0.009375</v>
      </c>
      <c r="D7" s="32" t="n">
        <f aca="false">'Rent Cost Model'!$D$11/B7</f>
        <v>0.00277337066666667</v>
      </c>
    </row>
    <row r="8" customFormat="false" ht="15" hidden="false" customHeight="false" outlineLevel="0" collapsed="false">
      <c r="A8" s="18" t="n">
        <v>100000</v>
      </c>
      <c r="B8" s="14" t="n">
        <f aca="false">A8*30*Assumptions!$B$16</f>
        <v>15000000</v>
      </c>
      <c r="C8" s="31" t="n">
        <f aca="false">B8/Assumptions!$B$21</f>
        <v>0.09375</v>
      </c>
      <c r="D8" s="32" t="n">
        <f aca="false">'Rent Cost Model'!$D$11/B8</f>
        <v>0.000277337066666667</v>
      </c>
    </row>
    <row r="9" customFormat="false" ht="15" hidden="false" customHeight="false" outlineLevel="0" collapsed="false">
      <c r="A9" s="18" t="n">
        <v>1000000</v>
      </c>
      <c r="B9" s="14" t="n">
        <f aca="false">A9*30*Assumptions!$B$16</f>
        <v>150000000</v>
      </c>
      <c r="C9" s="31" t="n">
        <f aca="false">B9/Assumptions!$B$21</f>
        <v>0.9375</v>
      </c>
      <c r="D9" s="32" t="n">
        <f aca="false">'Rent Cost Model'!$D$11/B9</f>
        <v>2.77337066666667E-005</v>
      </c>
    </row>
    <row r="11" customFormat="false" ht="15" hidden="false" customHeight="false" outlineLevel="0" collapsed="false">
      <c r="A11" s="7" t="s">
        <v>87</v>
      </c>
      <c r="B11" s="7"/>
      <c r="C11" s="7"/>
      <c r="D11" s="7"/>
    </row>
    <row r="12" customFormat="false" ht="15" hidden="false" customHeight="false" outlineLevel="0" collapsed="false">
      <c r="A12" s="8" t="s">
        <v>88</v>
      </c>
      <c r="B12" s="18" t="n">
        <v>50</v>
      </c>
    </row>
    <row r="13" customFormat="false" ht="15" hidden="false" customHeight="false" outlineLevel="0" collapsed="false">
      <c r="A13" s="8" t="s">
        <v>89</v>
      </c>
      <c r="B13" s="33" t="n">
        <f aca="false">1-1/B12</f>
        <v>0.98</v>
      </c>
    </row>
    <row r="14" customFormat="false" ht="15" hidden="false" customHeight="false" outlineLevel="0" collapsed="false">
      <c r="A14" s="8" t="s">
        <v>90</v>
      </c>
      <c r="B14" s="18" t="n">
        <v>1</v>
      </c>
    </row>
    <row r="15" customFormat="false" ht="15" hidden="false" customHeight="false" outlineLevel="0" collapsed="false">
      <c r="A15" s="8" t="s">
        <v>91</v>
      </c>
      <c r="B15" s="33" t="n">
        <f aca="false">1-0.5*EXP(-B12/B14)</f>
        <v>1</v>
      </c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5"/>
  </cols>
  <sheetData>
    <row r="1" customFormat="false" ht="24" hidden="false" customHeight="true" outlineLevel="0" collapsed="false">
      <c r="A1" s="1" t="s">
        <v>92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93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21" t="s">
        <v>94</v>
      </c>
      <c r="B4" s="34" t="n">
        <v>0</v>
      </c>
      <c r="C4" s="34" t="n">
        <v>0.0001</v>
      </c>
      <c r="D4" s="34" t="n">
        <v>0.001</v>
      </c>
      <c r="E4" s="34" t="n">
        <v>0.01</v>
      </c>
      <c r="F4" s="34" t="n">
        <v>0.1</v>
      </c>
    </row>
    <row r="5" customFormat="false" ht="15" hidden="false" customHeight="false" outlineLevel="0" collapsed="false">
      <c r="A5" s="18" t="n">
        <v>100</v>
      </c>
      <c r="B5" s="35" t="n">
        <f aca="false">'Rent Density'!$D$5-B$4</f>
        <v>0.277337066666667</v>
      </c>
      <c r="C5" s="35" t="n">
        <f aca="false">'Rent Density'!$D$5-C$4</f>
        <v>0.277237066666667</v>
      </c>
      <c r="D5" s="35" t="n">
        <f aca="false">'Rent Density'!$D$5-D$4</f>
        <v>0.276337066666667</v>
      </c>
      <c r="E5" s="35" t="n">
        <f aca="false">'Rent Density'!$D$5-E$4</f>
        <v>0.267337066666667</v>
      </c>
      <c r="F5" s="35" t="n">
        <f aca="false">'Rent Density'!$D$5-F$4</f>
        <v>0.177337066666667</v>
      </c>
    </row>
    <row r="6" customFormat="false" ht="15" hidden="false" customHeight="false" outlineLevel="0" collapsed="false">
      <c r="A6" s="18" t="n">
        <v>1000</v>
      </c>
      <c r="B6" s="35" t="n">
        <f aca="false">'Rent Density'!$D$6-B$4</f>
        <v>0.0277337066666667</v>
      </c>
      <c r="C6" s="35" t="n">
        <f aca="false">'Rent Density'!$D$6-C$4</f>
        <v>0.0276337066666667</v>
      </c>
      <c r="D6" s="35" t="n">
        <f aca="false">'Rent Density'!$D$6-D$4</f>
        <v>0.0267337066666667</v>
      </c>
      <c r="E6" s="35" t="n">
        <f aca="false">'Rent Density'!$D$6-E$4</f>
        <v>0.0177337066666667</v>
      </c>
      <c r="F6" s="35" t="n">
        <f aca="false">'Rent Density'!$D$6-F$4</f>
        <v>-0.0722662933333333</v>
      </c>
    </row>
    <row r="7" customFormat="false" ht="15" hidden="false" customHeight="false" outlineLevel="0" collapsed="false">
      <c r="A7" s="18" t="n">
        <v>10000</v>
      </c>
      <c r="B7" s="35" t="n">
        <f aca="false">'Rent Density'!$D$7-B$4</f>
        <v>0.00277337066666667</v>
      </c>
      <c r="C7" s="35" t="n">
        <f aca="false">'Rent Density'!$D$7-C$4</f>
        <v>0.00267337066666667</v>
      </c>
      <c r="D7" s="35" t="n">
        <f aca="false">'Rent Density'!$D$7-D$4</f>
        <v>0.00177337066666667</v>
      </c>
      <c r="E7" s="35" t="n">
        <f aca="false">'Rent Density'!$D$7-E$4</f>
        <v>-0.00722662933333333</v>
      </c>
      <c r="F7" s="35" t="n">
        <f aca="false">'Rent Density'!$D$7-F$4</f>
        <v>-0.0972266293333333</v>
      </c>
    </row>
    <row r="8" customFormat="false" ht="15" hidden="false" customHeight="false" outlineLevel="0" collapsed="false">
      <c r="A8" s="18" t="n">
        <v>100000</v>
      </c>
      <c r="B8" s="35" t="n">
        <f aca="false">'Rent Density'!$D$8-B$4</f>
        <v>0.000277337066666667</v>
      </c>
      <c r="C8" s="35" t="n">
        <f aca="false">'Rent Density'!$D$8-C$4</f>
        <v>0.000177337066666667</v>
      </c>
      <c r="D8" s="35" t="n">
        <f aca="false">'Rent Density'!$D$8-D$4</f>
        <v>-0.000722662933333333</v>
      </c>
      <c r="E8" s="35" t="n">
        <f aca="false">'Rent Density'!$D$8-E$4</f>
        <v>-0.00972266293333333</v>
      </c>
      <c r="F8" s="35" t="n">
        <f aca="false">'Rent Density'!$D$8-F$4</f>
        <v>-0.0997226629333333</v>
      </c>
    </row>
    <row r="9" customFormat="false" ht="15" hidden="false" customHeight="false" outlineLevel="0" collapsed="false">
      <c r="A9" s="18" t="n">
        <v>1000000</v>
      </c>
      <c r="B9" s="35" t="n">
        <f aca="false">'Rent Density'!$D$9-B$4</f>
        <v>2.77337066666667E-005</v>
      </c>
      <c r="C9" s="35" t="n">
        <f aca="false">'Rent Density'!$D$9-C$4</f>
        <v>-7.22662933333334E-005</v>
      </c>
      <c r="D9" s="35" t="n">
        <f aca="false">'Rent Density'!$D$9-D$4</f>
        <v>-0.000972266293333333</v>
      </c>
      <c r="E9" s="35" t="n">
        <f aca="false">'Rent Density'!$D$9-E$4</f>
        <v>-0.00997226629333333</v>
      </c>
      <c r="F9" s="35" t="n">
        <f aca="false">'Rent Density'!$D$9-F$4</f>
        <v>-0.0999722662933333</v>
      </c>
    </row>
  </sheetData>
  <mergeCells count="2">
    <mergeCell ref="A1:F1"/>
    <mergeCell ref="A2:F2"/>
  </mergeCells>
  <conditionalFormatting sqref="B5:F9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97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8" t="s">
        <v>98</v>
      </c>
      <c r="B5" s="23" t="n">
        <f aca="false">Assumptions!$B$28</f>
        <v>0.01</v>
      </c>
    </row>
    <row r="6" customFormat="false" ht="15" hidden="false" customHeight="false" outlineLevel="0" collapsed="false">
      <c r="A6" s="8" t="s">
        <v>99</v>
      </c>
      <c r="B6" s="36" t="n">
        <f aca="false">Assumptions!$B$36</f>
        <v>1.2</v>
      </c>
    </row>
    <row r="7" customFormat="false" ht="15" hidden="false" customHeight="false" outlineLevel="0" collapsed="false">
      <c r="A7" s="8" t="s">
        <v>100</v>
      </c>
      <c r="B7" s="37" t="n">
        <f aca="false">'Rent Cost Model'!$D$11</f>
        <v>4160.056</v>
      </c>
    </row>
    <row r="8" customFormat="false" ht="15" hidden="false" customHeight="false" outlineLevel="0" collapsed="false">
      <c r="A8" s="8" t="s">
        <v>101</v>
      </c>
      <c r="B8" s="24" t="n">
        <f aca="false">B6*B7</f>
        <v>4992.0672</v>
      </c>
    </row>
    <row r="9" customFormat="false" ht="15" hidden="false" customHeight="false" outlineLevel="0" collapsed="false">
      <c r="A9" s="8" t="s">
        <v>102</v>
      </c>
      <c r="B9" s="22" t="n">
        <f aca="false">Assumptions!$B$19</f>
        <v>30000000</v>
      </c>
    </row>
    <row r="10" customFormat="false" ht="15" hidden="false" customHeight="false" outlineLevel="0" collapsed="false">
      <c r="A10" s="8" t="s">
        <v>103</v>
      </c>
      <c r="B10" s="18" t="n">
        <v>10000</v>
      </c>
    </row>
    <row r="11" customFormat="false" ht="15" hidden="false" customHeight="false" outlineLevel="0" collapsed="false">
      <c r="A11" s="8" t="s">
        <v>104</v>
      </c>
      <c r="B11" s="14" t="n">
        <f aca="false">B8/B5</f>
        <v>499206.72</v>
      </c>
    </row>
    <row r="12" customFormat="false" ht="15" hidden="false" customHeight="false" outlineLevel="0" collapsed="false">
      <c r="A12" s="8" t="s">
        <v>105</v>
      </c>
      <c r="B12" s="31" t="n">
        <f aca="false">B11/B9</f>
        <v>0.016640224</v>
      </c>
    </row>
    <row r="14" customFormat="false" ht="27.75" hidden="false" customHeight="true" outlineLevel="0" collapsed="false">
      <c r="A14" s="21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</row>
    <row r="15" customFormat="false" ht="15" hidden="false" customHeight="false" outlineLevel="0" collapsed="false">
      <c r="A15" s="38" t="s">
        <v>113</v>
      </c>
      <c r="B15" s="18" t="n">
        <v>100</v>
      </c>
      <c r="C15" s="14" t="n">
        <f aca="false">B15*$B$10</f>
        <v>1000000</v>
      </c>
      <c r="D15" s="14" t="n">
        <f aca="false">CEILING(C15/$B$9,1)</f>
        <v>1</v>
      </c>
      <c r="E15" s="24" t="n">
        <f aca="false">D15*$B$8</f>
        <v>4992.0672</v>
      </c>
      <c r="F15" s="24" t="n">
        <f aca="false">C15*$B$5</f>
        <v>10000</v>
      </c>
      <c r="G15" s="39" t="n">
        <f aca="false">F15/E15</f>
        <v>2.00317816234525</v>
      </c>
    </row>
    <row r="16" customFormat="false" ht="15" hidden="false" customHeight="false" outlineLevel="0" collapsed="false">
      <c r="A16" s="38" t="s">
        <v>114</v>
      </c>
      <c r="B16" s="18" t="n">
        <v>1000</v>
      </c>
      <c r="C16" s="14" t="n">
        <f aca="false">B16*$B$10</f>
        <v>10000000</v>
      </c>
      <c r="D16" s="14" t="n">
        <f aca="false">CEILING(C16/$B$9,1)</f>
        <v>1</v>
      </c>
      <c r="E16" s="24" t="n">
        <f aca="false">D16*$B$8</f>
        <v>4992.0672</v>
      </c>
      <c r="F16" s="24" t="n">
        <f aca="false">C16*$B$5</f>
        <v>100000</v>
      </c>
      <c r="G16" s="39" t="n">
        <f aca="false">F16/E16</f>
        <v>20.0317816234525</v>
      </c>
    </row>
    <row r="17" customFormat="false" ht="15" hidden="false" customHeight="false" outlineLevel="0" collapsed="false">
      <c r="A17" s="38" t="s">
        <v>115</v>
      </c>
      <c r="B17" s="18" t="n">
        <v>10000</v>
      </c>
      <c r="C17" s="14" t="n">
        <f aca="false">B17*$B$10</f>
        <v>100000000</v>
      </c>
      <c r="D17" s="14" t="n">
        <f aca="false">CEILING(C17/$B$9,1)</f>
        <v>4</v>
      </c>
      <c r="E17" s="24" t="n">
        <f aca="false">D17*$B$8</f>
        <v>19968.2688</v>
      </c>
      <c r="F17" s="24" t="n">
        <f aca="false">C17*$B$5</f>
        <v>1000000</v>
      </c>
      <c r="G17" s="39" t="n">
        <f aca="false">F17/E17</f>
        <v>50.0794540586313</v>
      </c>
    </row>
    <row r="18" customFormat="false" ht="15" hidden="false" customHeight="false" outlineLevel="0" collapsed="false">
      <c r="A18" s="38" t="s">
        <v>116</v>
      </c>
      <c r="B18" s="18" t="n">
        <v>100000</v>
      </c>
      <c r="C18" s="14" t="n">
        <f aca="false">B18*$B$10</f>
        <v>1000000000</v>
      </c>
      <c r="D18" s="14" t="n">
        <f aca="false">CEILING(C18/$B$9,1)</f>
        <v>34</v>
      </c>
      <c r="E18" s="24" t="n">
        <f aca="false">D18*$B$8</f>
        <v>169730.2848</v>
      </c>
      <c r="F18" s="24" t="n">
        <f aca="false">C18*$B$5</f>
        <v>10000000</v>
      </c>
      <c r="G18" s="39" t="n">
        <f aca="false">F18/E18</f>
        <v>58.9170047748603</v>
      </c>
    </row>
    <row r="19" customFormat="false" ht="15" hidden="false" customHeight="false" outlineLevel="0" collapsed="false">
      <c r="A19" s="38" t="s">
        <v>117</v>
      </c>
      <c r="B19" s="18" t="n">
        <v>1000000</v>
      </c>
      <c r="C19" s="14" t="n">
        <f aca="false">B19*$B$10</f>
        <v>10000000000</v>
      </c>
      <c r="D19" s="14" t="n">
        <f aca="false">CEILING(C19/$B$9,1)</f>
        <v>334</v>
      </c>
      <c r="E19" s="24" t="n">
        <f aca="false">D19*$B$8</f>
        <v>1667350.4448</v>
      </c>
      <c r="F19" s="24" t="n">
        <f aca="false">C19*$B$5</f>
        <v>100000000</v>
      </c>
      <c r="G19" s="39" t="n">
        <f aca="false">F19/E19</f>
        <v>59.9753940821931</v>
      </c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97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8" t="s">
        <v>98</v>
      </c>
      <c r="B5" s="23" t="n">
        <f aca="false">Assumptions!$B$29</f>
        <v>0.25</v>
      </c>
    </row>
    <row r="6" customFormat="false" ht="15" hidden="false" customHeight="false" outlineLevel="0" collapsed="false">
      <c r="A6" s="8" t="s">
        <v>99</v>
      </c>
      <c r="B6" s="36" t="n">
        <f aca="false">Assumptions!$B$39</f>
        <v>2.5</v>
      </c>
    </row>
    <row r="7" customFormat="false" ht="15" hidden="false" customHeight="false" outlineLevel="0" collapsed="false">
      <c r="A7" s="8" t="s">
        <v>100</v>
      </c>
      <c r="B7" s="37" t="n">
        <f aca="false">'Rent Cost Model'!$D$11</f>
        <v>4160.056</v>
      </c>
    </row>
    <row r="8" customFormat="false" ht="15" hidden="false" customHeight="false" outlineLevel="0" collapsed="false">
      <c r="A8" s="8" t="s">
        <v>101</v>
      </c>
      <c r="B8" s="24" t="n">
        <f aca="false">B6*B7</f>
        <v>10400.14</v>
      </c>
    </row>
    <row r="9" customFormat="false" ht="15" hidden="false" customHeight="false" outlineLevel="0" collapsed="false">
      <c r="A9" s="8" t="s">
        <v>120</v>
      </c>
      <c r="B9" s="22" t="n">
        <f aca="false">Assumptions!$B$20</f>
        <v>20000000</v>
      </c>
    </row>
    <row r="10" customFormat="false" ht="15" hidden="false" customHeight="false" outlineLevel="0" collapsed="false">
      <c r="A10" s="8" t="s">
        <v>104</v>
      </c>
      <c r="B10" s="14" t="n">
        <f aca="false">B8/B5</f>
        <v>41600.56</v>
      </c>
    </row>
    <row r="11" customFormat="false" ht="15" hidden="false" customHeight="false" outlineLevel="0" collapsed="false">
      <c r="A11" s="8" t="s">
        <v>105</v>
      </c>
      <c r="B11" s="31" t="n">
        <f aca="false">B10/B9</f>
        <v>0.002080028</v>
      </c>
    </row>
    <row r="13" customFormat="false" ht="27.75" hidden="false" customHeight="true" outlineLevel="0" collapsed="false">
      <c r="A13" s="21" t="s">
        <v>106</v>
      </c>
      <c r="B13" s="21" t="s">
        <v>108</v>
      </c>
      <c r="C13" s="21" t="s">
        <v>109</v>
      </c>
      <c r="D13" s="21" t="s">
        <v>110</v>
      </c>
      <c r="E13" s="21" t="s">
        <v>111</v>
      </c>
      <c r="F13" s="21" t="s">
        <v>112</v>
      </c>
    </row>
    <row r="14" customFormat="false" ht="15" hidden="false" customHeight="false" outlineLevel="0" collapsed="false">
      <c r="A14" s="38" t="s">
        <v>113</v>
      </c>
      <c r="B14" s="18" t="n">
        <v>50000</v>
      </c>
      <c r="C14" s="14" t="n">
        <f aca="false">CEILING(B14/$B$9,1)</f>
        <v>1</v>
      </c>
      <c r="D14" s="24" t="n">
        <f aca="false">C14*$B$8</f>
        <v>10400.14</v>
      </c>
      <c r="E14" s="24" t="n">
        <f aca="false">B14*$B$5</f>
        <v>12500</v>
      </c>
      <c r="F14" s="39" t="n">
        <f aca="false">E14/D14</f>
        <v>1.20190689740715</v>
      </c>
    </row>
    <row r="15" customFormat="false" ht="15" hidden="false" customHeight="false" outlineLevel="0" collapsed="false">
      <c r="A15" s="38" t="s">
        <v>114</v>
      </c>
      <c r="B15" s="18" t="n">
        <v>500000</v>
      </c>
      <c r="C15" s="14" t="n">
        <f aca="false">CEILING(B15/$B$9,1)</f>
        <v>1</v>
      </c>
      <c r="D15" s="24" t="n">
        <f aca="false">C15*$B$8</f>
        <v>10400.14</v>
      </c>
      <c r="E15" s="24" t="n">
        <f aca="false">B15*$B$5</f>
        <v>125000</v>
      </c>
      <c r="F15" s="39" t="n">
        <f aca="false">E15/D15</f>
        <v>12.0190689740715</v>
      </c>
    </row>
    <row r="16" customFormat="false" ht="15" hidden="false" customHeight="false" outlineLevel="0" collapsed="false">
      <c r="A16" s="38" t="s">
        <v>115</v>
      </c>
      <c r="B16" s="18" t="n">
        <v>5000000</v>
      </c>
      <c r="C16" s="14" t="n">
        <f aca="false">CEILING(B16/$B$9,1)</f>
        <v>1</v>
      </c>
      <c r="D16" s="24" t="n">
        <f aca="false">C16*$B$8</f>
        <v>10400.14</v>
      </c>
      <c r="E16" s="24" t="n">
        <f aca="false">B16*$B$5</f>
        <v>1250000</v>
      </c>
      <c r="F16" s="39" t="n">
        <f aca="false">E16/D16</f>
        <v>120.190689740715</v>
      </c>
    </row>
    <row r="17" customFormat="false" ht="15" hidden="false" customHeight="false" outlineLevel="0" collapsed="false">
      <c r="A17" s="38" t="s">
        <v>116</v>
      </c>
      <c r="B17" s="18" t="n">
        <v>50000000</v>
      </c>
      <c r="C17" s="14" t="n">
        <f aca="false">CEILING(B17/$B$9,1)</f>
        <v>3</v>
      </c>
      <c r="D17" s="24" t="n">
        <f aca="false">C17*$B$8</f>
        <v>31200.42</v>
      </c>
      <c r="E17" s="24" t="n">
        <f aca="false">B17*$B$5</f>
        <v>12500000</v>
      </c>
      <c r="F17" s="39" t="n">
        <f aca="false">E17/D17</f>
        <v>400.63563246905</v>
      </c>
    </row>
    <row r="18" customFormat="false" ht="15" hidden="false" customHeight="false" outlineLevel="0" collapsed="false">
      <c r="A18" s="38" t="s">
        <v>117</v>
      </c>
      <c r="B18" s="18" t="n">
        <v>500000000</v>
      </c>
      <c r="C18" s="14" t="n">
        <f aca="false">CEILING(B18/$B$9,1)</f>
        <v>25</v>
      </c>
      <c r="D18" s="24" t="n">
        <f aca="false">C18*$B$8</f>
        <v>260003.5</v>
      </c>
      <c r="E18" s="24" t="n">
        <f aca="false">B18*$B$5</f>
        <v>125000000</v>
      </c>
      <c r="F18" s="39" t="n">
        <f aca="false">E18/D18</f>
        <v>480.76275896286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7" t="s">
        <v>97</v>
      </c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8" t="s">
        <v>123</v>
      </c>
      <c r="B5" s="18" t="n">
        <v>9100000</v>
      </c>
    </row>
    <row r="6" customFormat="false" ht="15" hidden="false" customHeight="false" outlineLevel="0" collapsed="false">
      <c r="A6" s="8" t="s">
        <v>124</v>
      </c>
      <c r="B6" s="12" t="n">
        <v>0.8</v>
      </c>
    </row>
    <row r="7" customFormat="false" ht="15" hidden="false" customHeight="false" outlineLevel="0" collapsed="false">
      <c r="A7" s="8" t="s">
        <v>125</v>
      </c>
      <c r="B7" s="14" t="n">
        <f aca="false">B5*B6</f>
        <v>7280000</v>
      </c>
    </row>
    <row r="8" customFormat="false" ht="15" hidden="false" customHeight="false" outlineLevel="0" collapsed="false">
      <c r="A8" s="8" t="s">
        <v>126</v>
      </c>
      <c r="B8" s="40" t="n">
        <f aca="false">Assumptions!$B$31</f>
        <v>1</v>
      </c>
    </row>
    <row r="9" customFormat="false" ht="15" hidden="false" customHeight="false" outlineLevel="0" collapsed="false">
      <c r="A9" s="8" t="s">
        <v>127</v>
      </c>
      <c r="B9" s="22" t="n">
        <f aca="false">Assumptions!$B$32</f>
        <v>50</v>
      </c>
    </row>
    <row r="10" customFormat="false" ht="15" hidden="false" customHeight="false" outlineLevel="0" collapsed="false">
      <c r="A10" s="8" t="s">
        <v>99</v>
      </c>
      <c r="B10" s="36" t="n">
        <f aca="false">Assumptions!$B$40</f>
        <v>4</v>
      </c>
    </row>
    <row r="11" customFormat="false" ht="15" hidden="false" customHeight="false" outlineLevel="0" collapsed="false">
      <c r="A11" s="8" t="s">
        <v>100</v>
      </c>
      <c r="B11" s="37" t="n">
        <f aca="false">'Rent Cost Model'!$D$11</f>
        <v>4160.056</v>
      </c>
    </row>
    <row r="12" customFormat="false" ht="15" hidden="false" customHeight="false" outlineLevel="0" collapsed="false">
      <c r="A12" s="8" t="s">
        <v>101</v>
      </c>
      <c r="B12" s="24" t="n">
        <f aca="false">B11*B10</f>
        <v>16640.224</v>
      </c>
    </row>
    <row r="13" customFormat="false" ht="15" hidden="false" customHeight="false" outlineLevel="0" collapsed="false">
      <c r="A13" s="8" t="s">
        <v>120</v>
      </c>
      <c r="B13" s="22" t="n">
        <f aca="false">Assumptions!$B$20</f>
        <v>20000000</v>
      </c>
    </row>
    <row r="14" customFormat="false" ht="15" hidden="false" customHeight="false" outlineLevel="0" collapsed="false">
      <c r="A14" s="8" t="s">
        <v>128</v>
      </c>
      <c r="B14" s="14" t="n">
        <f aca="false">B12/B8</f>
        <v>16640.224</v>
      </c>
    </row>
    <row r="15" customFormat="false" ht="15" hidden="false" customHeight="false" outlineLevel="0" collapsed="false">
      <c r="A15" s="8" t="s">
        <v>129</v>
      </c>
      <c r="B15" s="14" t="n">
        <f aca="false">B13/B9</f>
        <v>400000</v>
      </c>
    </row>
    <row r="16" customFormat="false" ht="15" hidden="false" customHeight="false" outlineLevel="0" collapsed="false">
      <c r="A16" s="8" t="s">
        <v>105</v>
      </c>
      <c r="B16" s="33" t="n">
        <f aca="false">B14/B15</f>
        <v>0.04160056</v>
      </c>
    </row>
    <row r="18" customFormat="false" ht="27.75" hidden="false" customHeight="true" outlineLevel="0" collapsed="false">
      <c r="A18" s="21" t="s">
        <v>106</v>
      </c>
      <c r="B18" s="21" t="s">
        <v>130</v>
      </c>
      <c r="C18" s="21" t="s">
        <v>108</v>
      </c>
      <c r="D18" s="21" t="s">
        <v>109</v>
      </c>
      <c r="E18" s="21" t="s">
        <v>110</v>
      </c>
      <c r="F18" s="21" t="s">
        <v>111</v>
      </c>
      <c r="G18" s="21" t="s">
        <v>112</v>
      </c>
      <c r="H18" s="21" t="s">
        <v>131</v>
      </c>
      <c r="I18" s="21" t="s">
        <v>132</v>
      </c>
    </row>
    <row r="19" customFormat="false" ht="15" hidden="false" customHeight="false" outlineLevel="0" collapsed="false">
      <c r="A19" s="38" t="s">
        <v>113</v>
      </c>
      <c r="B19" s="18" t="n">
        <v>7280</v>
      </c>
      <c r="C19" s="14" t="n">
        <f aca="false">B19*$B$9</f>
        <v>364000</v>
      </c>
      <c r="D19" s="14" t="n">
        <f aca="false">CEILING(C19/$B$13,1)</f>
        <v>1</v>
      </c>
      <c r="E19" s="24" t="n">
        <f aca="false">D19*$B$12</f>
        <v>16640.224</v>
      </c>
      <c r="F19" s="24" t="n">
        <f aca="false">B19*$B$8</f>
        <v>7280</v>
      </c>
      <c r="G19" s="39" t="n">
        <f aca="false">F19/E19</f>
        <v>0.437494110656203</v>
      </c>
      <c r="H19" s="24" t="n">
        <f aca="false">F19*12</f>
        <v>87360</v>
      </c>
      <c r="I19" s="24" t="n">
        <f aca="false">E19*12</f>
        <v>199682.688</v>
      </c>
    </row>
    <row r="20" customFormat="false" ht="15" hidden="false" customHeight="false" outlineLevel="0" collapsed="false">
      <c r="A20" s="38" t="s">
        <v>114</v>
      </c>
      <c r="B20" s="18" t="n">
        <v>72800</v>
      </c>
      <c r="C20" s="14" t="n">
        <f aca="false">B20*$B$9</f>
        <v>3640000</v>
      </c>
      <c r="D20" s="14" t="n">
        <f aca="false">CEILING(C20/$B$13,1)</f>
        <v>1</v>
      </c>
      <c r="E20" s="24" t="n">
        <f aca="false">D20*$B$12</f>
        <v>16640.224</v>
      </c>
      <c r="F20" s="24" t="n">
        <f aca="false">B20*$B$8</f>
        <v>72800</v>
      </c>
      <c r="G20" s="39" t="n">
        <f aca="false">F20/E20</f>
        <v>4.37494110656203</v>
      </c>
      <c r="H20" s="24" t="n">
        <f aca="false">F20*12</f>
        <v>873600</v>
      </c>
      <c r="I20" s="24" t="n">
        <f aca="false">E20*12</f>
        <v>199682.688</v>
      </c>
    </row>
    <row r="21" customFormat="false" ht="15" hidden="false" customHeight="false" outlineLevel="0" collapsed="false">
      <c r="A21" s="38" t="s">
        <v>115</v>
      </c>
      <c r="B21" s="18" t="n">
        <v>728000</v>
      </c>
      <c r="C21" s="14" t="n">
        <f aca="false">B21*$B$9</f>
        <v>36400000</v>
      </c>
      <c r="D21" s="14" t="n">
        <f aca="false">CEILING(C21/$B$13,1)</f>
        <v>2</v>
      </c>
      <c r="E21" s="24" t="n">
        <f aca="false">D21*$B$12</f>
        <v>33280.448</v>
      </c>
      <c r="F21" s="24" t="n">
        <f aca="false">B21*$B$8</f>
        <v>728000</v>
      </c>
      <c r="G21" s="39" t="n">
        <f aca="false">F21/E21</f>
        <v>21.8747055328101</v>
      </c>
      <c r="H21" s="24" t="n">
        <f aca="false">F21*12</f>
        <v>8736000</v>
      </c>
      <c r="I21" s="24" t="n">
        <f aca="false">E21*12</f>
        <v>399365.376</v>
      </c>
    </row>
    <row r="22" customFormat="false" ht="15" hidden="false" customHeight="false" outlineLevel="0" collapsed="false">
      <c r="A22" s="38" t="s">
        <v>116</v>
      </c>
      <c r="B22" s="14" t="n">
        <f aca="false">$B$7</f>
        <v>7280000</v>
      </c>
      <c r="C22" s="14" t="n">
        <f aca="false">B22*$B$9</f>
        <v>364000000</v>
      </c>
      <c r="D22" s="14" t="n">
        <f aca="false">CEILING(C22/$B$13,1)</f>
        <v>19</v>
      </c>
      <c r="E22" s="24" t="n">
        <f aca="false">D22*$B$12</f>
        <v>316164.256</v>
      </c>
      <c r="F22" s="24" t="n">
        <f aca="false">B22*$B$8</f>
        <v>7280000</v>
      </c>
      <c r="G22" s="39" t="n">
        <f aca="false">F22/E22</f>
        <v>23.0260058240107</v>
      </c>
      <c r="H22" s="24" t="n">
        <f aca="false">F22*12</f>
        <v>87360000</v>
      </c>
      <c r="I22" s="24" t="n">
        <f aca="false">E22*12</f>
        <v>3793971.072</v>
      </c>
    </row>
    <row r="23" customFormat="false" ht="15" hidden="false" customHeight="false" outlineLevel="0" collapsed="false">
      <c r="A23" s="38" t="s">
        <v>117</v>
      </c>
      <c r="B23" s="14" t="n">
        <f aca="false">$B$7</f>
        <v>7280000</v>
      </c>
      <c r="C23" s="14" t="n">
        <f aca="false">B23*$B$9</f>
        <v>364000000</v>
      </c>
      <c r="D23" s="14" t="n">
        <f aca="false">CEILING(C23/$B$13,1)</f>
        <v>19</v>
      </c>
      <c r="E23" s="24" t="n">
        <f aca="false">D23*$B$12</f>
        <v>316164.256</v>
      </c>
      <c r="F23" s="24" t="n">
        <f aca="false">B23*$B$8</f>
        <v>7280000</v>
      </c>
      <c r="G23" s="39" t="n">
        <f aca="false">F23/E23</f>
        <v>23.0260058240107</v>
      </c>
      <c r="H23" s="24" t="n">
        <f aca="false">F23*12</f>
        <v>87360000</v>
      </c>
      <c r="I23" s="24" t="n">
        <f aca="false">E23*12</f>
        <v>3793971.072</v>
      </c>
    </row>
    <row r="24" customFormat="false" ht="15" hidden="false" customHeight="false" outlineLevel="0" collapsed="false">
      <c r="A24" s="38" t="s">
        <v>133</v>
      </c>
      <c r="B24" s="14" t="n">
        <f aca="false">$B$7</f>
        <v>7280000</v>
      </c>
      <c r="C24" s="14" t="n">
        <f aca="false">B24*$B$9</f>
        <v>364000000</v>
      </c>
      <c r="D24" s="14" t="n">
        <f aca="false">CEILING(C24/$B$13,1)</f>
        <v>19</v>
      </c>
      <c r="E24" s="24" t="n">
        <f aca="false">D24*$B$12</f>
        <v>316164.256</v>
      </c>
      <c r="F24" s="24" t="n">
        <f aca="false">B24*$B$8</f>
        <v>7280000</v>
      </c>
      <c r="G24" s="39" t="n">
        <f aca="false">F24/E24</f>
        <v>23.0260058240107</v>
      </c>
      <c r="H24" s="24" t="n">
        <f aca="false">F24*12</f>
        <v>87360000</v>
      </c>
      <c r="I24" s="24" t="n">
        <f aca="false">E24*12</f>
        <v>3793971.072</v>
      </c>
    </row>
    <row r="25" customFormat="false" ht="15" hidden="false" customHeight="false" outlineLevel="0" collapsed="false">
      <c r="A25" s="38" t="s">
        <v>134</v>
      </c>
      <c r="B25" s="14" t="n">
        <f aca="false">$B$7</f>
        <v>7280000</v>
      </c>
      <c r="C25" s="14" t="n">
        <f aca="false">B25*$B$9</f>
        <v>364000000</v>
      </c>
      <c r="D25" s="14" t="n">
        <f aca="false">CEILING(C25/$B$13,1)</f>
        <v>19</v>
      </c>
      <c r="E25" s="24" t="n">
        <f aca="false">D25*$B$12</f>
        <v>316164.256</v>
      </c>
      <c r="F25" s="24" t="n">
        <f aca="false">B25*$B$8</f>
        <v>7280000</v>
      </c>
      <c r="G25" s="39" t="n">
        <f aca="false">F25/E25</f>
        <v>23.0260058240107</v>
      </c>
      <c r="H25" s="24" t="n">
        <f aca="false">F25*12</f>
        <v>87360000</v>
      </c>
      <c r="I25" s="24" t="n">
        <f aca="false">E25*12</f>
        <v>3793971.072</v>
      </c>
    </row>
    <row r="26" customFormat="false" ht="15" hidden="false" customHeight="false" outlineLevel="0" collapsed="false">
      <c r="A26" s="38" t="s">
        <v>135</v>
      </c>
      <c r="B26" s="14" t="n">
        <f aca="false">$B$7</f>
        <v>7280000</v>
      </c>
      <c r="C26" s="14" t="n">
        <f aca="false">B26*$B$9</f>
        <v>364000000</v>
      </c>
      <c r="D26" s="14" t="n">
        <f aca="false">CEILING(C26/$B$13,1)</f>
        <v>19</v>
      </c>
      <c r="E26" s="24" t="n">
        <f aca="false">D26*$B$12</f>
        <v>316164.256</v>
      </c>
      <c r="F26" s="24" t="n">
        <f aca="false">B26*$B$8</f>
        <v>7280000</v>
      </c>
      <c r="G26" s="39" t="n">
        <f aca="false">F26/E26</f>
        <v>23.0260058240107</v>
      </c>
      <c r="H26" s="24" t="n">
        <f aca="false">F26*12</f>
        <v>87360000</v>
      </c>
      <c r="I26" s="24" t="n">
        <f aca="false">E26*12</f>
        <v>3793971.072</v>
      </c>
    </row>
    <row r="27" customFormat="false" ht="15" hidden="false" customHeight="false" outlineLevel="0" collapsed="false">
      <c r="A27" s="38" t="s">
        <v>136</v>
      </c>
      <c r="B27" s="14" t="n">
        <f aca="false">$B$7</f>
        <v>7280000</v>
      </c>
      <c r="C27" s="14" t="n">
        <f aca="false">B27*$B$9</f>
        <v>364000000</v>
      </c>
      <c r="D27" s="14" t="n">
        <f aca="false">CEILING(C27/$B$13,1)</f>
        <v>19</v>
      </c>
      <c r="E27" s="24" t="n">
        <f aca="false">D27*$B$12</f>
        <v>316164.256</v>
      </c>
      <c r="F27" s="24" t="n">
        <f aca="false">B27*$B$8</f>
        <v>7280000</v>
      </c>
      <c r="G27" s="39" t="n">
        <f aca="false">F27/E27</f>
        <v>23.0260058240107</v>
      </c>
      <c r="H27" s="24" t="n">
        <f aca="false">F27*12</f>
        <v>87360000</v>
      </c>
      <c r="I27" s="24" t="n">
        <f aca="false">E27*12</f>
        <v>3793971.072</v>
      </c>
    </row>
    <row r="28" customFormat="false" ht="15" hidden="false" customHeight="false" outlineLevel="0" collapsed="false">
      <c r="A28" s="38" t="s">
        <v>137</v>
      </c>
      <c r="B28" s="14" t="n">
        <f aca="false">$B$7</f>
        <v>7280000</v>
      </c>
      <c r="C28" s="14" t="n">
        <f aca="false">B28*$B$9</f>
        <v>364000000</v>
      </c>
      <c r="D28" s="14" t="n">
        <f aca="false">CEILING(C28/$B$13,1)</f>
        <v>19</v>
      </c>
      <c r="E28" s="24" t="n">
        <f aca="false">D28*$B$12</f>
        <v>316164.256</v>
      </c>
      <c r="F28" s="24" t="n">
        <f aca="false">B28*$B$8</f>
        <v>7280000</v>
      </c>
      <c r="G28" s="39" t="n">
        <f aca="false">F28/E28</f>
        <v>23.0260058240107</v>
      </c>
      <c r="H28" s="24" t="n">
        <f aca="false">F28*12</f>
        <v>87360000</v>
      </c>
      <c r="I28" s="24" t="n">
        <f aca="false">E28*12</f>
        <v>3793971.072</v>
      </c>
    </row>
    <row r="29" customFormat="false" ht="15" hidden="false" customHeight="false" outlineLevel="0" collapsed="false">
      <c r="A29" s="25" t="s">
        <v>138</v>
      </c>
      <c r="H29" s="26" t="n">
        <f aca="false">SUM(H19:H28)</f>
        <v>621216960</v>
      </c>
      <c r="I29" s="26" t="n">
        <f aca="false">SUM(I19:I28)</f>
        <v>27356528.256</v>
      </c>
    </row>
  </sheetData>
  <mergeCells count="3">
    <mergeCell ref="A1:I1"/>
    <mergeCell ref="A2:I2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139</v>
      </c>
      <c r="B1" s="1"/>
      <c r="C1" s="1"/>
      <c r="D1" s="1"/>
    </row>
    <row r="2" customFormat="false" ht="15" hidden="false" customHeight="false" outlineLevel="0" collapsed="false">
      <c r="A2" s="2" t="s">
        <v>140</v>
      </c>
      <c r="B2" s="2"/>
      <c r="C2" s="2"/>
      <c r="D2" s="2"/>
    </row>
    <row r="4" customFormat="false" ht="15" hidden="false" customHeight="false" outlineLevel="0" collapsed="false">
      <c r="A4" s="7" t="s">
        <v>97</v>
      </c>
      <c r="B4" s="7"/>
      <c r="C4" s="7"/>
      <c r="D4" s="7"/>
    </row>
    <row r="5" customFormat="false" ht="15" hidden="false" customHeight="false" outlineLevel="0" collapsed="false">
      <c r="A5" s="8" t="s">
        <v>141</v>
      </c>
      <c r="B5" s="18" t="n">
        <v>10</v>
      </c>
    </row>
    <row r="6" customFormat="false" ht="15" hidden="false" customHeight="false" outlineLevel="0" collapsed="false">
      <c r="A6" s="8" t="s">
        <v>142</v>
      </c>
      <c r="B6" s="18" t="n">
        <v>1000000</v>
      </c>
    </row>
    <row r="7" customFormat="false" ht="15" hidden="false" customHeight="false" outlineLevel="0" collapsed="false">
      <c r="A7" s="8" t="s">
        <v>143</v>
      </c>
      <c r="B7" s="18" t="n">
        <v>10</v>
      </c>
    </row>
    <row r="8" customFormat="false" ht="15" hidden="false" customHeight="false" outlineLevel="0" collapsed="false">
      <c r="A8" s="8" t="s">
        <v>144</v>
      </c>
      <c r="B8" s="14" t="n">
        <f aca="false">B5*B6*B7</f>
        <v>100000000</v>
      </c>
    </row>
    <row r="9" customFormat="false" ht="15" hidden="false" customHeight="false" outlineLevel="0" collapsed="false">
      <c r="A9" s="8" t="s">
        <v>145</v>
      </c>
      <c r="B9" s="32" t="n">
        <f aca="false">Assumptions!$B$30</f>
        <v>0.0003</v>
      </c>
    </row>
    <row r="10" customFormat="false" ht="15" hidden="false" customHeight="false" outlineLevel="0" collapsed="false">
      <c r="A10" s="8" t="s">
        <v>100</v>
      </c>
      <c r="B10" s="37" t="n">
        <f aca="false">'Rent Cost Model'!$D$11</f>
        <v>4160.056</v>
      </c>
    </row>
    <row r="11" customFormat="false" ht="15" hidden="false" customHeight="false" outlineLevel="0" collapsed="false">
      <c r="A11" s="8" t="s">
        <v>102</v>
      </c>
      <c r="B11" s="22" t="n">
        <f aca="false">Assumptions!$B$19</f>
        <v>30000000</v>
      </c>
    </row>
    <row r="12" customFormat="false" ht="15" hidden="false" customHeight="false" outlineLevel="0" collapsed="false">
      <c r="A12" s="8" t="s">
        <v>146</v>
      </c>
      <c r="B12" s="14" t="n">
        <f aca="false">CEILING(B8/B11,1)</f>
        <v>4</v>
      </c>
    </row>
    <row r="13" customFormat="false" ht="15" hidden="false" customHeight="false" outlineLevel="0" collapsed="false">
      <c r="A13" s="8" t="s">
        <v>147</v>
      </c>
      <c r="B13" s="24" t="n">
        <f aca="false">B12*B10</f>
        <v>16640.224</v>
      </c>
    </row>
    <row r="14" customFormat="false" ht="15" hidden="false" customHeight="false" outlineLevel="0" collapsed="false">
      <c r="A14" s="8" t="s">
        <v>148</v>
      </c>
      <c r="B14" s="35" t="n">
        <f aca="false">B13/B8</f>
        <v>0.00016640224</v>
      </c>
    </row>
    <row r="16" customFormat="false" ht="15" hidden="false" customHeight="false" outlineLevel="0" collapsed="false">
      <c r="A16" s="7" t="s">
        <v>149</v>
      </c>
      <c r="B16" s="7"/>
      <c r="C16" s="7"/>
      <c r="D16" s="7"/>
    </row>
    <row r="17" customFormat="false" ht="27.75" hidden="false" customHeight="true" outlineLevel="0" collapsed="false">
      <c r="A17" s="21" t="s">
        <v>150</v>
      </c>
      <c r="B17" s="21" t="s">
        <v>111</v>
      </c>
      <c r="C17" s="21" t="s">
        <v>110</v>
      </c>
      <c r="D17" s="21" t="s">
        <v>112</v>
      </c>
    </row>
    <row r="18" customFormat="false" ht="15" hidden="false" customHeight="false" outlineLevel="0" collapsed="false">
      <c r="A18" s="17" t="n">
        <v>0.0001</v>
      </c>
      <c r="B18" s="24" t="n">
        <f aca="false">$B$8*A18</f>
        <v>10000</v>
      </c>
      <c r="C18" s="24" t="n">
        <f aca="false">$B$13</f>
        <v>16640.224</v>
      </c>
      <c r="D18" s="39" t="n">
        <f aca="false">B18/C18</f>
        <v>0.600953448703575</v>
      </c>
    </row>
    <row r="19" customFormat="false" ht="15" hidden="false" customHeight="false" outlineLevel="0" collapsed="false">
      <c r="A19" s="17" t="n">
        <v>0.000166</v>
      </c>
      <c r="B19" s="24" t="n">
        <f aca="false">$B$8*A19</f>
        <v>16600</v>
      </c>
      <c r="C19" s="24" t="n">
        <f aca="false">$B$13</f>
        <v>16640.224</v>
      </c>
      <c r="D19" s="39" t="n">
        <f aca="false">B19/C19</f>
        <v>0.997582724847935</v>
      </c>
    </row>
    <row r="20" customFormat="false" ht="15" hidden="false" customHeight="false" outlineLevel="0" collapsed="false">
      <c r="A20" s="17" t="n">
        <v>0.0003</v>
      </c>
      <c r="B20" s="24" t="n">
        <f aca="false">$B$8*A20</f>
        <v>30000</v>
      </c>
      <c r="C20" s="24" t="n">
        <f aca="false">$B$13</f>
        <v>16640.224</v>
      </c>
      <c r="D20" s="39" t="n">
        <f aca="false">B20/C20</f>
        <v>1.80286034611073</v>
      </c>
    </row>
    <row r="21" customFormat="false" ht="15" hidden="false" customHeight="false" outlineLevel="0" collapsed="false">
      <c r="A21" s="17" t="n">
        <v>0.001</v>
      </c>
      <c r="B21" s="24" t="n">
        <f aca="false">$B$8*A21</f>
        <v>100000</v>
      </c>
      <c r="C21" s="24" t="n">
        <f aca="false">$B$13</f>
        <v>16640.224</v>
      </c>
      <c r="D21" s="39" t="n">
        <f aca="false">B21/C21</f>
        <v>6.00953448703575</v>
      </c>
    </row>
    <row r="23" customFormat="false" ht="15" hidden="false" customHeight="false" outlineLevel="0" collapsed="false">
      <c r="A23" s="7" t="s">
        <v>151</v>
      </c>
      <c r="B23" s="7"/>
      <c r="C23" s="7"/>
      <c r="D23" s="7"/>
    </row>
    <row r="24" customFormat="false" ht="15" hidden="false" customHeight="false" outlineLevel="0" collapsed="false">
      <c r="A24" s="8" t="s">
        <v>152</v>
      </c>
      <c r="B24" s="18" t="n">
        <v>100</v>
      </c>
    </row>
    <row r="25" customFormat="false" ht="15" hidden="false" customHeight="false" outlineLevel="0" collapsed="false">
      <c r="A25" s="8" t="s">
        <v>153</v>
      </c>
      <c r="B25" s="14" t="n">
        <f aca="false">B8/B24</f>
        <v>1000000</v>
      </c>
    </row>
    <row r="26" customFormat="false" ht="15" hidden="false" customHeight="false" outlineLevel="0" collapsed="false">
      <c r="A26" s="8" t="s">
        <v>154</v>
      </c>
      <c r="B26" s="14" t="n">
        <f aca="false">CEILING(B25/B11,1)</f>
        <v>1</v>
      </c>
    </row>
    <row r="27" customFormat="false" ht="15" hidden="false" customHeight="false" outlineLevel="0" collapsed="false">
      <c r="A27" s="8" t="s">
        <v>155</v>
      </c>
      <c r="B27" s="24" t="n">
        <f aca="false">B26*B10</f>
        <v>4160.056</v>
      </c>
    </row>
    <row r="28" customFormat="false" ht="15" hidden="false" customHeight="false" outlineLevel="0" collapsed="false">
      <c r="A28" s="8" t="s">
        <v>156</v>
      </c>
      <c r="B28" s="11" t="n">
        <v>0.03</v>
      </c>
    </row>
    <row r="29" customFormat="false" ht="15" hidden="false" customHeight="false" outlineLevel="0" collapsed="false">
      <c r="A29" s="8" t="s">
        <v>157</v>
      </c>
      <c r="B29" s="24" t="n">
        <f aca="false">B25*B28</f>
        <v>30000</v>
      </c>
    </row>
    <row r="30" customFormat="false" ht="15" hidden="false" customHeight="false" outlineLevel="0" collapsed="false">
      <c r="A30" s="8" t="s">
        <v>158</v>
      </c>
      <c r="B30" s="39" t="n">
        <f aca="false">B29/B27</f>
        <v>7.2114413844429</v>
      </c>
    </row>
  </sheetData>
  <mergeCells count="5">
    <mergeCell ref="A1:D1"/>
    <mergeCell ref="A2:D2"/>
    <mergeCell ref="A4:D4"/>
    <mergeCell ref="A16:D16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97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8" t="s">
        <v>161</v>
      </c>
      <c r="B5" s="32" t="n">
        <f aca="false">'Rent Cost Model'!$D$13</f>
        <v>0.000138668533333333</v>
      </c>
    </row>
    <row r="6" customFormat="false" ht="15" hidden="false" customHeight="false" outlineLevel="0" collapsed="false">
      <c r="A6" s="8" t="s">
        <v>162</v>
      </c>
      <c r="B6" s="40" t="n">
        <f aca="false">Assumptions!$B$24</f>
        <v>3</v>
      </c>
    </row>
    <row r="7" customFormat="false" ht="15" hidden="false" customHeight="false" outlineLevel="0" collapsed="false">
      <c r="A7" s="8" t="s">
        <v>163</v>
      </c>
      <c r="B7" s="23" t="n">
        <f aca="false">Assumptions!$B$25</f>
        <v>0.003</v>
      </c>
    </row>
    <row r="8" customFormat="false" ht="15" hidden="false" customHeight="false" outlineLevel="0" collapsed="false">
      <c r="A8" s="8" t="s">
        <v>164</v>
      </c>
      <c r="B8" s="41" t="n">
        <f aca="false">B7/B5</f>
        <v>21.6343241533287</v>
      </c>
    </row>
    <row r="9" customFormat="false" ht="15" hidden="false" customHeight="false" outlineLevel="0" collapsed="false">
      <c r="A9" s="8" t="s">
        <v>102</v>
      </c>
      <c r="B9" s="22" t="n">
        <f aca="false">Assumptions!$B$19</f>
        <v>30000000</v>
      </c>
    </row>
    <row r="10" customFormat="false" ht="15" hidden="false" customHeight="false" outlineLevel="0" collapsed="false">
      <c r="A10" s="8" t="s">
        <v>100</v>
      </c>
      <c r="B10" s="37" t="n">
        <f aca="false">'Rent Cost Model'!$D$11</f>
        <v>4160.056</v>
      </c>
    </row>
    <row r="12" customFormat="false" ht="27.75" hidden="false" customHeight="true" outlineLevel="0" collapsed="false">
      <c r="A12" s="21" t="s">
        <v>165</v>
      </c>
      <c r="B12" s="21" t="s">
        <v>166</v>
      </c>
      <c r="C12" s="21" t="s">
        <v>167</v>
      </c>
      <c r="D12" s="21" t="s">
        <v>109</v>
      </c>
      <c r="E12" s="21" t="s">
        <v>168</v>
      </c>
      <c r="F12" s="21" t="s">
        <v>169</v>
      </c>
      <c r="G12" s="21" t="s">
        <v>170</v>
      </c>
      <c r="H12" s="21" t="s">
        <v>171</v>
      </c>
    </row>
    <row r="13" customFormat="false" ht="15" hidden="false" customHeight="false" outlineLevel="0" collapsed="false">
      <c r="A13" s="8" t="s">
        <v>172</v>
      </c>
      <c r="B13" s="18" t="n">
        <v>1800000000</v>
      </c>
      <c r="C13" s="18" t="n">
        <v>3600000000000</v>
      </c>
      <c r="D13" s="14" t="n">
        <f aca="false">CEILING(C13/$B$9,1)</f>
        <v>120000</v>
      </c>
      <c r="E13" s="24" t="n">
        <f aca="false">D13*$B$10</f>
        <v>499206720</v>
      </c>
      <c r="F13" s="14" t="n">
        <f aca="false">C13/B13</f>
        <v>2000</v>
      </c>
      <c r="G13" s="16" t="n">
        <f aca="false">F13*$B$5</f>
        <v>0.277337066666667</v>
      </c>
      <c r="H13" s="41" t="n">
        <f aca="false">(G13/$B$7)/30</f>
        <v>3.08152296296296</v>
      </c>
    </row>
    <row r="14" customFormat="false" ht="15" hidden="false" customHeight="false" outlineLevel="0" collapsed="false">
      <c r="A14" s="8" t="s">
        <v>173</v>
      </c>
      <c r="B14" s="18" t="n">
        <v>2000000000</v>
      </c>
      <c r="C14" s="18" t="n">
        <v>3000000000000</v>
      </c>
      <c r="D14" s="14" t="n">
        <f aca="false">CEILING(C14/$B$9,1)</f>
        <v>100000</v>
      </c>
      <c r="E14" s="24" t="n">
        <f aca="false">D14*$B$10</f>
        <v>416005600</v>
      </c>
      <c r="F14" s="14" t="n">
        <f aca="false">C14/B14</f>
        <v>1500</v>
      </c>
      <c r="G14" s="16" t="n">
        <f aca="false">F14*$B$5</f>
        <v>0.2080028</v>
      </c>
      <c r="H14" s="41" t="n">
        <f aca="false">(G14/$B$7)/30</f>
        <v>2.31114222222222</v>
      </c>
    </row>
    <row r="15" customFormat="false" ht="15" hidden="false" customHeight="false" outlineLevel="0" collapsed="false">
      <c r="A15" s="8" t="s">
        <v>174</v>
      </c>
      <c r="B15" s="18" t="n">
        <v>3000000000</v>
      </c>
      <c r="C15" s="18" t="n">
        <v>600000000000</v>
      </c>
      <c r="D15" s="14" t="n">
        <f aca="false">CEILING(C15/$B$9,1)</f>
        <v>20000</v>
      </c>
      <c r="E15" s="24" t="n">
        <f aca="false">D15*$B$10</f>
        <v>83201120</v>
      </c>
      <c r="F15" s="14" t="n">
        <f aca="false">C15/B15</f>
        <v>200</v>
      </c>
      <c r="G15" s="16" t="n">
        <f aca="false">F15*$B$5</f>
        <v>0.0277337066666667</v>
      </c>
      <c r="H15" s="41" t="n">
        <f aca="false">(G15/$B$7)/30</f>
        <v>0.308152296296296</v>
      </c>
    </row>
    <row r="17" customFormat="false" ht="15" hidden="false" customHeight="false" outlineLevel="0" collapsed="false">
      <c r="A17" s="7" t="s">
        <v>175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8" t="s">
        <v>176</v>
      </c>
      <c r="B18" s="12" t="n">
        <v>0.01</v>
      </c>
    </row>
    <row r="19" customFormat="false" ht="15" hidden="false" customHeight="false" outlineLevel="0" collapsed="false">
      <c r="A19" s="8" t="s">
        <v>177</v>
      </c>
      <c r="B19" s="14" t="n">
        <f aca="false">B13*B18</f>
        <v>18000000</v>
      </c>
    </row>
    <row r="20" customFormat="false" ht="15" hidden="false" customHeight="false" outlineLevel="0" collapsed="false">
      <c r="A20" s="8" t="s">
        <v>178</v>
      </c>
      <c r="B20" s="14" t="n">
        <f aca="false">C13*B18</f>
        <v>36000000000</v>
      </c>
    </row>
    <row r="21" customFormat="false" ht="15" hidden="false" customHeight="false" outlineLevel="0" collapsed="false">
      <c r="A21" s="8" t="s">
        <v>179</v>
      </c>
      <c r="B21" s="14" t="n">
        <f aca="false">CEILING(B20/B9,1)</f>
        <v>1200</v>
      </c>
    </row>
    <row r="22" customFormat="false" ht="15" hidden="false" customHeight="false" outlineLevel="0" collapsed="false">
      <c r="A22" s="8" t="s">
        <v>180</v>
      </c>
      <c r="B22" s="24" t="n">
        <f aca="false">B21*B10</f>
        <v>4992067.2</v>
      </c>
    </row>
    <row r="23" customFormat="false" ht="15" hidden="false" customHeight="false" outlineLevel="0" collapsed="false">
      <c r="A23" s="8" t="s">
        <v>181</v>
      </c>
      <c r="B23" s="17" t="n">
        <v>2E-005</v>
      </c>
    </row>
    <row r="24" customFormat="false" ht="15" hidden="false" customHeight="false" outlineLevel="0" collapsed="false">
      <c r="A24" s="8" t="s">
        <v>182</v>
      </c>
      <c r="B24" s="24" t="n">
        <f aca="false">C13*B23</f>
        <v>72000000</v>
      </c>
    </row>
  </sheetData>
  <mergeCells count="4">
    <mergeCell ref="A1:H1"/>
    <mergeCell ref="A2:H2"/>
    <mergeCell ref="A4:H4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8" min="7" style="0" width="16"/>
  </cols>
  <sheetData>
    <row r="1" customFormat="false" ht="24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184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185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8" t="s">
        <v>186</v>
      </c>
      <c r="B5" s="42" t="n">
        <v>50</v>
      </c>
    </row>
    <row r="6" customFormat="false" ht="15" hidden="false" customHeight="false" outlineLevel="0" collapsed="false">
      <c r="A6" s="8" t="s">
        <v>187</v>
      </c>
      <c r="B6" s="42" t="n">
        <v>19</v>
      </c>
    </row>
    <row r="7" customFormat="false" ht="15" hidden="false" customHeight="false" outlineLevel="0" collapsed="false">
      <c r="A7" s="8" t="s">
        <v>188</v>
      </c>
      <c r="B7" s="18" t="n">
        <v>4</v>
      </c>
    </row>
    <row r="9" customFormat="false" ht="27.75" hidden="false" customHeight="true" outlineLevel="0" collapsed="false">
      <c r="A9" s="21" t="s">
        <v>189</v>
      </c>
      <c r="B9" s="21" t="s">
        <v>190</v>
      </c>
      <c r="C9" s="21" t="s">
        <v>191</v>
      </c>
      <c r="D9" s="21" t="s">
        <v>192</v>
      </c>
      <c r="E9" s="21" t="s">
        <v>193</v>
      </c>
      <c r="F9" s="21" t="s">
        <v>194</v>
      </c>
      <c r="G9" s="21" t="s">
        <v>195</v>
      </c>
      <c r="H9" s="21" t="s">
        <v>196</v>
      </c>
    </row>
    <row r="10" customFormat="false" ht="15" hidden="false" customHeight="false" outlineLevel="0" collapsed="false">
      <c r="A10" s="8" t="s">
        <v>197</v>
      </c>
      <c r="B10" s="42" t="n">
        <v>2000</v>
      </c>
      <c r="C10" s="18" t="n">
        <v>1000000</v>
      </c>
      <c r="D10" s="12" t="n">
        <v>0.1</v>
      </c>
      <c r="E10" s="14" t="n">
        <f aca="false">C10*D10</f>
        <v>100000</v>
      </c>
      <c r="F10" s="16" t="n">
        <f aca="false">B10/E10</f>
        <v>0.02</v>
      </c>
      <c r="G10" s="39" t="n">
        <f aca="false">$B$6/F10</f>
        <v>950</v>
      </c>
      <c r="H10" s="39" t="n">
        <f aca="false">$B$5/F10</f>
        <v>2500</v>
      </c>
    </row>
    <row r="11" customFormat="false" ht="15" hidden="false" customHeight="false" outlineLevel="0" collapsed="false">
      <c r="A11" s="8" t="s">
        <v>198</v>
      </c>
      <c r="B11" s="42" t="n">
        <v>5000</v>
      </c>
      <c r="C11" s="18" t="n">
        <v>1000000</v>
      </c>
      <c r="D11" s="12" t="n">
        <v>0.05</v>
      </c>
      <c r="E11" s="14" t="n">
        <f aca="false">C11*D11</f>
        <v>50000</v>
      </c>
      <c r="F11" s="16" t="n">
        <f aca="false">B11/E11</f>
        <v>0.1</v>
      </c>
      <c r="G11" s="39" t="n">
        <f aca="false">$B$6/F11</f>
        <v>190</v>
      </c>
      <c r="H11" s="39" t="n">
        <f aca="false">$B$5/F11</f>
        <v>500</v>
      </c>
    </row>
    <row r="12" customFormat="false" ht="15" hidden="false" customHeight="false" outlineLevel="0" collapsed="false">
      <c r="A12" s="8" t="s">
        <v>199</v>
      </c>
      <c r="B12" s="42" t="n">
        <v>10000</v>
      </c>
      <c r="C12" s="18" t="n">
        <v>1000000</v>
      </c>
      <c r="D12" s="12" t="n">
        <v>0.01</v>
      </c>
      <c r="E12" s="14" t="n">
        <f aca="false">C12*D12</f>
        <v>10000</v>
      </c>
      <c r="F12" s="16" t="n">
        <f aca="false">B12/E12</f>
        <v>1</v>
      </c>
      <c r="G12" s="39" t="n">
        <f aca="false">$B$6/F12</f>
        <v>19</v>
      </c>
      <c r="H12" s="39" t="n">
        <f aca="false">$B$5/F12</f>
        <v>50</v>
      </c>
    </row>
    <row r="13" customFormat="false" ht="15" hidden="false" customHeight="false" outlineLevel="0" collapsed="false">
      <c r="A13" s="8" t="s">
        <v>200</v>
      </c>
      <c r="B13" s="42" t="n">
        <v>500000</v>
      </c>
      <c r="C13" s="18" t="n">
        <v>1000000</v>
      </c>
      <c r="D13" s="12" t="n">
        <v>1</v>
      </c>
      <c r="E13" s="14" t="n">
        <f aca="false">C13*D13</f>
        <v>1000000</v>
      </c>
      <c r="F13" s="16" t="n">
        <f aca="false">B13/E13</f>
        <v>0.5</v>
      </c>
      <c r="G13" s="39" t="n">
        <f aca="false">$B$6/F13</f>
        <v>38</v>
      </c>
      <c r="H13" s="39" t="n">
        <f aca="false">$B$5/F13</f>
        <v>100</v>
      </c>
    </row>
    <row r="14" customFormat="false" ht="15" hidden="false" customHeight="false" outlineLevel="0" collapsed="false">
      <c r="A14" s="8" t="s">
        <v>201</v>
      </c>
      <c r="B14" s="42" t="n">
        <v>5000000</v>
      </c>
      <c r="C14" s="18" t="n">
        <v>9100000</v>
      </c>
      <c r="D14" s="12" t="n">
        <v>0.8</v>
      </c>
      <c r="E14" s="14" t="n">
        <f aca="false">C14*D14</f>
        <v>7280000</v>
      </c>
      <c r="F14" s="16" t="n">
        <f aca="false">B14/E14</f>
        <v>0.686813186813187</v>
      </c>
      <c r="G14" s="39" t="n">
        <f aca="false">$B$6/F14</f>
        <v>27.664</v>
      </c>
      <c r="H14" s="39" t="n">
        <f aca="false">$B$5/F14</f>
        <v>72.8</v>
      </c>
    </row>
    <row r="15" customFormat="false" ht="15" hidden="false" customHeight="false" outlineLevel="0" collapsed="false">
      <c r="A15" s="8" t="s">
        <v>202</v>
      </c>
      <c r="B15" s="42" t="n">
        <v>20000000</v>
      </c>
      <c r="C15" s="18" t="n">
        <v>9100000</v>
      </c>
      <c r="D15" s="12" t="n">
        <v>0.8</v>
      </c>
      <c r="E15" s="14" t="n">
        <f aca="false">C15*D15</f>
        <v>7280000</v>
      </c>
      <c r="F15" s="16" t="n">
        <f aca="false">B15/E15</f>
        <v>2.74725274725275</v>
      </c>
      <c r="G15" s="39" t="n">
        <f aca="false">$B$6/F15</f>
        <v>6.916</v>
      </c>
      <c r="H15" s="39" t="n">
        <f aca="false">$B$5/F15</f>
        <v>18.2</v>
      </c>
    </row>
    <row r="17" customFormat="false" ht="15" hidden="false" customHeight="false" outlineLevel="0" collapsed="false">
      <c r="A17" s="7" t="s">
        <v>203</v>
      </c>
      <c r="B17" s="7"/>
      <c r="C17" s="7"/>
      <c r="D17" s="7"/>
      <c r="E17" s="7"/>
      <c r="F17" s="7"/>
      <c r="G17" s="7"/>
      <c r="H17" s="7"/>
    </row>
    <row r="18" customFormat="false" ht="27.75" hidden="false" customHeight="true" outlineLevel="0" collapsed="false">
      <c r="A18" s="21" t="s">
        <v>204</v>
      </c>
      <c r="B18" s="21" t="s">
        <v>194</v>
      </c>
      <c r="C18" s="21" t="s">
        <v>205</v>
      </c>
      <c r="D18" s="21" t="s">
        <v>206</v>
      </c>
      <c r="E18" s="21" t="s">
        <v>207</v>
      </c>
      <c r="F18" s="21" t="s">
        <v>208</v>
      </c>
    </row>
    <row r="19" customFormat="false" ht="15" hidden="false" customHeight="false" outlineLevel="0" collapsed="false">
      <c r="A19" s="8" t="s">
        <v>209</v>
      </c>
      <c r="B19" s="16" t="n">
        <f aca="false">F12</f>
        <v>1</v>
      </c>
      <c r="C19" s="23" t="n">
        <f aca="false">Music!$B$7*Music!$B$9</f>
        <v>0.003</v>
      </c>
      <c r="D19" s="14" t="n">
        <f aca="false">B19/C19</f>
        <v>333.333333333333</v>
      </c>
      <c r="E19" s="16" t="n">
        <f aca="false">B19/$B$7</f>
        <v>0.25</v>
      </c>
      <c r="F19" s="14" t="n">
        <f aca="false">B19/(C19*$B$7)</f>
        <v>83.3333333333333</v>
      </c>
    </row>
    <row r="20" customFormat="false" ht="15" hidden="false" customHeight="false" outlineLevel="0" collapsed="false">
      <c r="A20" s="8" t="s">
        <v>210</v>
      </c>
      <c r="B20" s="16" t="n">
        <f aca="false">F14</f>
        <v>0.686813186813187</v>
      </c>
      <c r="C20" s="40" t="n">
        <f aca="false">Assumptions!$B$31</f>
        <v>1</v>
      </c>
      <c r="D20" s="41" t="n">
        <f aca="false">B20/C20</f>
        <v>0.686813186813187</v>
      </c>
      <c r="E20" s="16" t="n">
        <f aca="false">B20/$B$7</f>
        <v>0.171703296703297</v>
      </c>
      <c r="F20" s="41" t="n">
        <f aca="false">B20/(C20*$B$7)</f>
        <v>0.171703296703297</v>
      </c>
    </row>
    <row r="22" customFormat="false" ht="15" hidden="false" customHeight="false" outlineLevel="0" collapsed="false">
      <c r="A22" s="43" t="s">
        <v>211</v>
      </c>
      <c r="B22" s="43"/>
      <c r="C22" s="43"/>
      <c r="D22" s="43"/>
      <c r="E22" s="43"/>
      <c r="F22" s="43"/>
      <c r="G22" s="43"/>
      <c r="H22" s="43"/>
    </row>
  </sheetData>
  <mergeCells count="5">
    <mergeCell ref="A1:H1"/>
    <mergeCell ref="A2:H2"/>
    <mergeCell ref="A4:H4"/>
    <mergeCell ref="A17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"/>
  </cols>
  <sheetData>
    <row r="1" customFormat="false" ht="24" hidden="false" customHeight="true" outlineLevel="0" collapsed="false">
      <c r="A1" s="1" t="s">
        <v>212</v>
      </c>
      <c r="B1" s="1"/>
      <c r="C1" s="1"/>
      <c r="D1" s="1"/>
    </row>
    <row r="2" customFormat="false" ht="15" hidden="false" customHeight="false" outlineLevel="0" collapsed="false">
      <c r="A2" s="2" t="s">
        <v>213</v>
      </c>
      <c r="B2" s="2"/>
      <c r="C2" s="2"/>
      <c r="D2" s="2"/>
    </row>
    <row r="4" customFormat="false" ht="15" hidden="false" customHeight="false" outlineLevel="0" collapsed="false">
      <c r="A4" s="7" t="s">
        <v>97</v>
      </c>
      <c r="B4" s="7"/>
      <c r="C4" s="7"/>
      <c r="D4" s="7"/>
    </row>
    <row r="5" customFormat="false" ht="15" hidden="false" customHeight="false" outlineLevel="0" collapsed="false">
      <c r="A5" s="8" t="s">
        <v>214</v>
      </c>
      <c r="B5" s="11" t="n">
        <v>0.005</v>
      </c>
    </row>
    <row r="6" customFormat="false" ht="15" hidden="false" customHeight="false" outlineLevel="0" collapsed="false">
      <c r="A6" s="8" t="s">
        <v>215</v>
      </c>
      <c r="B6" s="12" t="n">
        <v>0.2</v>
      </c>
    </row>
    <row r="7" customFormat="false" ht="15" hidden="false" customHeight="false" outlineLevel="0" collapsed="false">
      <c r="A7" s="8" t="s">
        <v>216</v>
      </c>
      <c r="B7" s="17" t="n">
        <v>0.0005</v>
      </c>
    </row>
    <row r="8" customFormat="false" ht="15" hidden="false" customHeight="false" outlineLevel="0" collapsed="false">
      <c r="A8" s="8" t="s">
        <v>217</v>
      </c>
      <c r="B8" s="12" t="n">
        <v>0.05</v>
      </c>
    </row>
    <row r="9" customFormat="false" ht="15" hidden="false" customHeight="false" outlineLevel="0" collapsed="false">
      <c r="A9" s="8" t="s">
        <v>102</v>
      </c>
      <c r="B9" s="22" t="n">
        <f aca="false">Assumptions!$B$19</f>
        <v>30000000</v>
      </c>
    </row>
    <row r="10" customFormat="false" ht="15" hidden="false" customHeight="false" outlineLevel="0" collapsed="false">
      <c r="A10" s="8" t="s">
        <v>100</v>
      </c>
      <c r="B10" s="37" t="n">
        <f aca="false">'Rent Cost Model'!$D$11</f>
        <v>4160.056</v>
      </c>
    </row>
    <row r="12" customFormat="false" ht="15" hidden="false" customHeight="false" outlineLevel="0" collapsed="false">
      <c r="A12" s="7" t="s">
        <v>218</v>
      </c>
      <c r="B12" s="7"/>
      <c r="C12" s="7"/>
      <c r="D12" s="7"/>
    </row>
    <row r="13" customFormat="false" ht="15" hidden="false" customHeight="false" outlineLevel="0" collapsed="false">
      <c r="A13" s="8" t="s">
        <v>219</v>
      </c>
      <c r="B13" s="22" t="n">
        <f aca="false">AI!$C$19</f>
        <v>10000000000</v>
      </c>
    </row>
    <row r="14" customFormat="false" ht="15" hidden="false" customHeight="false" outlineLevel="0" collapsed="false">
      <c r="A14" s="8" t="s">
        <v>220</v>
      </c>
      <c r="B14" s="22" t="n">
        <f aca="false">Fintech!$B$18</f>
        <v>500000000</v>
      </c>
    </row>
    <row r="15" customFormat="false" ht="15" hidden="false" customHeight="false" outlineLevel="0" collapsed="false">
      <c r="A15" s="8" t="s">
        <v>221</v>
      </c>
      <c r="B15" s="22" t="n">
        <f aca="false">Medical!$C$28</f>
        <v>364000000</v>
      </c>
    </row>
    <row r="16" customFormat="false" ht="15" hidden="false" customHeight="false" outlineLevel="0" collapsed="false">
      <c r="A16" s="8" t="s">
        <v>222</v>
      </c>
      <c r="B16" s="22" t="n">
        <f aca="false">Music!$B$8</f>
        <v>100000000</v>
      </c>
    </row>
    <row r="17" customFormat="false" ht="15" hidden="false" customHeight="false" outlineLevel="0" collapsed="false">
      <c r="A17" s="25" t="s">
        <v>223</v>
      </c>
      <c r="B17" s="44" t="n">
        <f aca="false">SUM(B13:B16)</f>
        <v>10964000000</v>
      </c>
    </row>
    <row r="18" customFormat="false" ht="15" hidden="false" customHeight="false" outlineLevel="0" collapsed="false">
      <c r="A18" s="8" t="s">
        <v>224</v>
      </c>
      <c r="B18" s="22" t="n">
        <f aca="false">'Web 2.0'!$C$13+'Web 2.0'!$C$14+'Web 2.0'!$C$15</f>
        <v>7200000000000</v>
      </c>
    </row>
    <row r="20" customFormat="false" ht="15" hidden="false" customHeight="false" outlineLevel="0" collapsed="false">
      <c r="A20" s="7" t="s">
        <v>225</v>
      </c>
      <c r="B20" s="7"/>
      <c r="C20" s="7"/>
      <c r="D20" s="7"/>
    </row>
    <row r="21" customFormat="false" ht="15" hidden="false" customHeight="false" outlineLevel="0" collapsed="false">
      <c r="A21" s="8" t="s">
        <v>226</v>
      </c>
      <c r="B21" s="14" t="n">
        <f aca="false">B17*B6</f>
        <v>2192800000</v>
      </c>
    </row>
    <row r="22" customFormat="false" ht="15" hidden="false" customHeight="false" outlineLevel="0" collapsed="false">
      <c r="A22" s="8" t="s">
        <v>227</v>
      </c>
      <c r="B22" s="24" t="n">
        <f aca="false">B21*B5</f>
        <v>10964000</v>
      </c>
    </row>
    <row r="23" customFormat="false" ht="15" hidden="false" customHeight="false" outlineLevel="0" collapsed="false">
      <c r="A23" s="8" t="s">
        <v>228</v>
      </c>
      <c r="B23" s="14" t="n">
        <f aca="false">B18*B8</f>
        <v>360000000000</v>
      </c>
    </row>
    <row r="24" customFormat="false" ht="15" hidden="false" customHeight="false" outlineLevel="0" collapsed="false">
      <c r="A24" s="8" t="s">
        <v>229</v>
      </c>
      <c r="B24" s="24" t="n">
        <f aca="false">B23*B7</f>
        <v>180000000</v>
      </c>
    </row>
    <row r="25" customFormat="false" ht="15" hidden="false" customHeight="false" outlineLevel="0" collapsed="false">
      <c r="A25" s="28" t="s">
        <v>230</v>
      </c>
      <c r="B25" s="29" t="n">
        <f aca="false">B22+B24</f>
        <v>190964000</v>
      </c>
    </row>
    <row r="26" customFormat="false" ht="15" hidden="false" customHeight="false" outlineLevel="0" collapsed="false">
      <c r="A26" s="8" t="s">
        <v>231</v>
      </c>
      <c r="B26" s="14" t="n">
        <f aca="false">CEILING((B21+B23)/B9,1)</f>
        <v>12074</v>
      </c>
    </row>
    <row r="27" customFormat="false" ht="15" hidden="false" customHeight="false" outlineLevel="0" collapsed="false">
      <c r="A27" s="8" t="s">
        <v>232</v>
      </c>
      <c r="B27" s="24" t="n">
        <f aca="false">B26*B10</f>
        <v>50228516.144</v>
      </c>
    </row>
    <row r="28" customFormat="false" ht="15" hidden="false" customHeight="false" outlineLevel="0" collapsed="false">
      <c r="A28" s="25" t="s">
        <v>233</v>
      </c>
      <c r="B28" s="45" t="n">
        <f aca="false">B25/B27</f>
        <v>3.80190407083749</v>
      </c>
    </row>
    <row r="30" customFormat="false" ht="15" hidden="false" customHeight="false" outlineLevel="0" collapsed="false">
      <c r="A30" s="7" t="s">
        <v>234</v>
      </c>
      <c r="B30" s="7"/>
      <c r="C30" s="7"/>
      <c r="D30" s="7"/>
    </row>
    <row r="31" customFormat="false" ht="27.75" hidden="false" customHeight="true" outlineLevel="0" collapsed="false">
      <c r="A31" s="21" t="s">
        <v>235</v>
      </c>
      <c r="B31" s="21" t="s">
        <v>236</v>
      </c>
      <c r="C31" s="21" t="s">
        <v>237</v>
      </c>
      <c r="D31" s="21"/>
    </row>
    <row r="32" customFormat="false" ht="15" hidden="false" customHeight="false" outlineLevel="0" collapsed="false">
      <c r="A32" s="18" t="n">
        <v>2</v>
      </c>
      <c r="B32" s="33" t="n">
        <f aca="false">(A32-1)/A32</f>
        <v>0.5</v>
      </c>
      <c r="C32" s="24" t="n">
        <f aca="false">$B$17*B32*$B$5</f>
        <v>27410000</v>
      </c>
    </row>
    <row r="33" customFormat="false" ht="15" hidden="false" customHeight="false" outlineLevel="0" collapsed="false">
      <c r="A33" s="18" t="n">
        <v>5</v>
      </c>
      <c r="B33" s="33" t="n">
        <f aca="false">(A33-1)/A33</f>
        <v>0.8</v>
      </c>
      <c r="C33" s="24" t="n">
        <f aca="false">$B$17*B33*$B$5</f>
        <v>43856000</v>
      </c>
    </row>
    <row r="34" customFormat="false" ht="15" hidden="false" customHeight="false" outlineLevel="0" collapsed="false">
      <c r="A34" s="18" t="n">
        <v>10</v>
      </c>
      <c r="B34" s="33" t="n">
        <f aca="false">(A34-1)/A34</f>
        <v>0.9</v>
      </c>
      <c r="C34" s="24" t="n">
        <f aca="false">$B$17*B34*$B$5</f>
        <v>49338000</v>
      </c>
    </row>
    <row r="35" customFormat="false" ht="15" hidden="false" customHeight="false" outlineLevel="0" collapsed="false">
      <c r="A35" s="18" t="n">
        <v>50</v>
      </c>
      <c r="B35" s="33" t="n">
        <f aca="false">(A35-1)/A35</f>
        <v>0.98</v>
      </c>
      <c r="C35" s="24" t="n">
        <f aca="false">$B$17*B35*$B$5</f>
        <v>53723600</v>
      </c>
    </row>
    <row r="36" customFormat="false" ht="15" hidden="false" customHeight="false" outlineLevel="0" collapsed="false">
      <c r="A36" s="18" t="n">
        <v>100</v>
      </c>
      <c r="B36" s="33" t="n">
        <f aca="false">(A36-1)/A36</f>
        <v>0.99</v>
      </c>
      <c r="C36" s="24" t="n">
        <f aca="false">$B$17*B36*$B$5</f>
        <v>54271800</v>
      </c>
    </row>
  </sheetData>
  <mergeCells count="6">
    <mergeCell ref="A1:D1"/>
    <mergeCell ref="A2:D2"/>
    <mergeCell ref="A4:D4"/>
    <mergeCell ref="A12:D12"/>
    <mergeCell ref="A20:D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4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240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8" t="s">
        <v>241</v>
      </c>
      <c r="B5" s="23" t="n">
        <f aca="false">Assumptions!$B$43</f>
        <v>0.0085</v>
      </c>
    </row>
    <row r="6" customFormat="false" ht="15" hidden="false" customHeight="false" outlineLevel="0" collapsed="false">
      <c r="A6" s="8" t="s">
        <v>242</v>
      </c>
      <c r="B6" s="23" t="n">
        <f aca="false">Assumptions!$B$45</f>
        <v>0.04</v>
      </c>
    </row>
    <row r="7" customFormat="false" ht="15" hidden="false" customHeight="false" outlineLevel="0" collapsed="false">
      <c r="A7" s="8" t="s">
        <v>243</v>
      </c>
      <c r="B7" s="23" t="n">
        <f aca="false">Assumptions!$B$44</f>
        <v>0.005</v>
      </c>
    </row>
    <row r="8" customFormat="false" ht="15" hidden="false" customHeight="false" outlineLevel="0" collapsed="false">
      <c r="A8" s="8" t="s">
        <v>244</v>
      </c>
      <c r="B8" s="22" t="n">
        <f aca="false">Assumptions!$B$46</f>
        <v>10</v>
      </c>
    </row>
    <row r="9" customFormat="false" ht="15" hidden="false" customHeight="false" outlineLevel="0" collapsed="false">
      <c r="A9" s="43" t="s">
        <v>245</v>
      </c>
      <c r="B9" s="43"/>
      <c r="C9" s="43"/>
      <c r="D9" s="43"/>
      <c r="E9" s="43"/>
      <c r="F9" s="43"/>
      <c r="G9" s="43"/>
      <c r="H9" s="43"/>
    </row>
    <row r="11" customFormat="false" ht="15" hidden="false" customHeight="false" outlineLevel="0" collapsed="false">
      <c r="A11" s="7" t="s">
        <v>246</v>
      </c>
      <c r="B11" s="7"/>
      <c r="C11" s="7"/>
      <c r="D11" s="7"/>
      <c r="E11" s="7"/>
      <c r="F11" s="7"/>
      <c r="G11" s="7"/>
      <c r="H11" s="7"/>
    </row>
    <row r="12" customFormat="false" ht="27.75" hidden="false" customHeight="true" outlineLevel="0" collapsed="false">
      <c r="A12" s="21" t="s">
        <v>247</v>
      </c>
      <c r="B12" s="21" t="s">
        <v>248</v>
      </c>
      <c r="C12" s="21" t="s">
        <v>167</v>
      </c>
      <c r="D12" s="21" t="s">
        <v>249</v>
      </c>
      <c r="E12" s="21" t="s">
        <v>250</v>
      </c>
      <c r="F12" s="21" t="s">
        <v>251</v>
      </c>
      <c r="G12" s="21" t="s">
        <v>252</v>
      </c>
      <c r="H12" s="21" t="s">
        <v>253</v>
      </c>
    </row>
    <row r="13" customFormat="false" ht="15" hidden="false" customHeight="false" outlineLevel="0" collapsed="false">
      <c r="A13" s="8" t="s">
        <v>254</v>
      </c>
      <c r="B13" s="22" t="n">
        <f aca="false">Assumptions!$B$49</f>
        <v>250</v>
      </c>
      <c r="C13" s="22" t="n">
        <f aca="false">Medical!$B$7*Assumptions!$B$52</f>
        <v>36400000</v>
      </c>
      <c r="D13" s="14" t="n">
        <f aca="false">C13*B13/1024</f>
        <v>8886718.75</v>
      </c>
      <c r="E13" s="24" t="n">
        <f aca="false">D13*$B$5</f>
        <v>75537.109375</v>
      </c>
      <c r="F13" s="24" t="n">
        <f aca="false">D13*$B$6</f>
        <v>355468.75</v>
      </c>
      <c r="G13" s="35" t="n">
        <f aca="false">E13/C13</f>
        <v>0.0020751953125</v>
      </c>
      <c r="H13" s="33" t="n">
        <f aca="false">E13/Medical!$F$28</f>
        <v>0.0103759765625</v>
      </c>
    </row>
    <row r="14" customFormat="false" ht="15" hidden="false" customHeight="false" outlineLevel="0" collapsed="false">
      <c r="A14" s="8" t="s">
        <v>255</v>
      </c>
      <c r="B14" s="22" t="n">
        <f aca="false">Assumptions!$B$50</f>
        <v>4</v>
      </c>
      <c r="C14" s="22" t="n">
        <f aca="false">Music!$B$8</f>
        <v>100000000</v>
      </c>
      <c r="D14" s="14" t="n">
        <f aca="false">C14*B14/1024</f>
        <v>390625</v>
      </c>
      <c r="E14" s="24" t="n">
        <f aca="false">D14*$B$5</f>
        <v>3320.3125</v>
      </c>
      <c r="F14" s="24" t="n">
        <f aca="false">D14*$B$6</f>
        <v>15625</v>
      </c>
      <c r="G14" s="35" t="n">
        <f aca="false">E14/C14</f>
        <v>3.3203125E-005</v>
      </c>
      <c r="H14" s="33" t="n">
        <f aca="false">E14/Music!$B$20</f>
        <v>0.110677083333333</v>
      </c>
    </row>
    <row r="15" customFormat="false" ht="15" hidden="false" customHeight="false" outlineLevel="0" collapsed="false">
      <c r="A15" s="8" t="s">
        <v>256</v>
      </c>
      <c r="B15" s="22" t="n">
        <f aca="false">Assumptions!$B$51</f>
        <v>40</v>
      </c>
      <c r="C15" s="22" t="n">
        <f aca="false">Music!$B$8</f>
        <v>100000000</v>
      </c>
      <c r="D15" s="14" t="n">
        <f aca="false">C15*B15/1024</f>
        <v>3906250</v>
      </c>
      <c r="E15" s="24" t="n">
        <f aca="false">D15*$B$5</f>
        <v>33203.125</v>
      </c>
      <c r="F15" s="24" t="n">
        <f aca="false">D15*$B$6</f>
        <v>156250</v>
      </c>
      <c r="G15" s="35" t="n">
        <f aca="false">E15/C15</f>
        <v>0.00033203125</v>
      </c>
      <c r="H15" s="33" t="n">
        <f aca="false">E15/Music!$B$20</f>
        <v>1.10677083333333</v>
      </c>
    </row>
    <row r="16" customFormat="false" ht="15" hidden="false" customHeight="false" outlineLevel="0" collapsed="false">
      <c r="A16" s="8" t="s">
        <v>257</v>
      </c>
      <c r="B16" s="46" t="n">
        <v>0.003</v>
      </c>
      <c r="C16" s="22" t="n">
        <f aca="false">AI!$C$19</f>
        <v>10000000000</v>
      </c>
      <c r="D16" s="14" t="n">
        <f aca="false">C16*B16/1024</f>
        <v>29296.875</v>
      </c>
      <c r="E16" s="24" t="n">
        <f aca="false">D16*$B$5</f>
        <v>249.0234375</v>
      </c>
      <c r="F16" s="24" t="n">
        <f aca="false">D16*$B$6</f>
        <v>1171.875</v>
      </c>
      <c r="G16" s="35" t="n">
        <f aca="false">E16/C16</f>
        <v>2.490234375E-008</v>
      </c>
      <c r="H16" s="10" t="s">
        <v>258</v>
      </c>
    </row>
    <row r="18" customFormat="false" ht="15" hidden="false" customHeight="false" outlineLevel="0" collapsed="false">
      <c r="A18" s="7" t="s">
        <v>259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 t="s">
        <v>260</v>
      </c>
      <c r="B19" s="37" t="n">
        <f aca="false">Music!$B$13</f>
        <v>16640.224</v>
      </c>
    </row>
    <row r="20" customFormat="false" ht="15" hidden="false" customHeight="false" outlineLevel="0" collapsed="false">
      <c r="A20" s="8" t="s">
        <v>261</v>
      </c>
      <c r="B20" s="35" t="n">
        <f aca="false">(B19+E14)/C14</f>
        <v>0.000199605365</v>
      </c>
    </row>
    <row r="21" customFormat="false" ht="15" hidden="false" customHeight="false" outlineLevel="0" collapsed="false">
      <c r="A21" s="8" t="s">
        <v>262</v>
      </c>
      <c r="B21" s="35" t="n">
        <f aca="false">(B19+E15)/C15</f>
        <v>0.00049843349</v>
      </c>
    </row>
    <row r="22" customFormat="false" ht="15" hidden="false" customHeight="false" outlineLevel="0" collapsed="false">
      <c r="A22" s="8" t="s">
        <v>263</v>
      </c>
      <c r="B22" s="32" t="n">
        <f aca="false">Assumptions!$B$30</f>
        <v>0.0003</v>
      </c>
    </row>
    <row r="23" customFormat="false" ht="15" hidden="false" customHeight="false" outlineLevel="0" collapsed="false">
      <c r="A23" s="47" t="s">
        <v>264</v>
      </c>
      <c r="B23" s="47"/>
      <c r="C23" s="47"/>
      <c r="D23" s="47"/>
      <c r="E23" s="47"/>
      <c r="F23" s="47"/>
      <c r="G23" s="47"/>
      <c r="H23" s="47"/>
    </row>
  </sheetData>
  <mergeCells count="7">
    <mergeCell ref="A1:H1"/>
    <mergeCell ref="A2:H2"/>
    <mergeCell ref="A4:H4"/>
    <mergeCell ref="A9:H9"/>
    <mergeCell ref="A11:H11"/>
    <mergeCell ref="A18:H18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265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21" t="s">
        <v>267</v>
      </c>
      <c r="B4" s="21" t="s">
        <v>268</v>
      </c>
      <c r="C4" s="21" t="s">
        <v>269</v>
      </c>
      <c r="D4" s="21" t="s">
        <v>270</v>
      </c>
      <c r="E4" s="21" t="s">
        <v>271</v>
      </c>
      <c r="F4" s="21" t="s">
        <v>272</v>
      </c>
    </row>
    <row r="5" customFormat="false" ht="15" hidden="false" customHeight="false" outlineLevel="0" collapsed="false">
      <c r="A5" s="25" t="s">
        <v>41</v>
      </c>
      <c r="B5" s="8" t="s">
        <v>273</v>
      </c>
      <c r="C5" s="8" t="s">
        <v>274</v>
      </c>
      <c r="D5" s="8" t="s">
        <v>275</v>
      </c>
      <c r="E5" s="48" t="n">
        <f aca="false">AI!$B$12</f>
        <v>0.016640224</v>
      </c>
      <c r="F5" s="8" t="s">
        <v>276</v>
      </c>
    </row>
    <row r="6" customFormat="false" ht="15" hidden="false" customHeight="false" outlineLevel="0" collapsed="false">
      <c r="A6" s="25" t="s">
        <v>43</v>
      </c>
      <c r="B6" s="8" t="s">
        <v>277</v>
      </c>
      <c r="C6" s="8" t="s">
        <v>278</v>
      </c>
      <c r="D6" s="8" t="s">
        <v>279</v>
      </c>
      <c r="E6" s="48" t="n">
        <f aca="false">Fintech!$B$11</f>
        <v>0.002080028</v>
      </c>
      <c r="F6" s="8" t="s">
        <v>280</v>
      </c>
    </row>
    <row r="7" customFormat="false" ht="15" hidden="false" customHeight="false" outlineLevel="0" collapsed="false">
      <c r="A7" s="25" t="s">
        <v>54</v>
      </c>
      <c r="B7" s="8" t="s">
        <v>281</v>
      </c>
      <c r="C7" s="8" t="s">
        <v>282</v>
      </c>
      <c r="D7" s="8" t="s">
        <v>283</v>
      </c>
      <c r="E7" s="48" t="n">
        <f aca="false">Medical!$B$16</f>
        <v>0.04160056</v>
      </c>
      <c r="F7" s="8" t="s">
        <v>284</v>
      </c>
    </row>
    <row r="8" customFormat="false" ht="15" hidden="false" customHeight="false" outlineLevel="0" collapsed="false">
      <c r="A8" s="25" t="s">
        <v>44</v>
      </c>
      <c r="B8" s="8" t="s">
        <v>285</v>
      </c>
      <c r="C8" s="8" t="s">
        <v>286</v>
      </c>
      <c r="D8" s="8" t="s">
        <v>287</v>
      </c>
      <c r="E8" s="38" t="s">
        <v>288</v>
      </c>
      <c r="F8" s="8" t="s">
        <v>289</v>
      </c>
    </row>
    <row r="9" customFormat="false" ht="15" hidden="false" customHeight="false" outlineLevel="0" collapsed="false">
      <c r="A9" s="25" t="s">
        <v>290</v>
      </c>
      <c r="B9" s="8" t="s">
        <v>291</v>
      </c>
      <c r="C9" s="8" t="s">
        <v>274</v>
      </c>
      <c r="D9" s="8" t="s">
        <v>292</v>
      </c>
      <c r="E9" s="38" t="s">
        <v>293</v>
      </c>
      <c r="F9" s="8" t="s">
        <v>294</v>
      </c>
    </row>
    <row r="12" customFormat="false" ht="15" hidden="false" customHeight="false" outlineLevel="0" collapsed="false">
      <c r="A12" s="25" t="s">
        <v>295</v>
      </c>
      <c r="B12" s="49" t="s">
        <v>296</v>
      </c>
      <c r="C12" s="49"/>
      <c r="D12" s="49"/>
      <c r="E12" s="49"/>
      <c r="F12" s="49"/>
    </row>
    <row r="14" customFormat="false" ht="15" hidden="false" customHeight="false" outlineLevel="0" collapsed="false">
      <c r="A14" s="25" t="s">
        <v>297</v>
      </c>
      <c r="B14" s="49" t="s">
        <v>298</v>
      </c>
      <c r="C14" s="49"/>
      <c r="D14" s="49"/>
      <c r="E14" s="49"/>
      <c r="F14" s="49"/>
    </row>
  </sheetData>
  <mergeCells count="4">
    <mergeCell ref="A1:F1"/>
    <mergeCell ref="A2:F2"/>
    <mergeCell ref="B12:F12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2026-06-11T00:09:14Z</dcterms:created>
  <dc:creator>openpyxl</dc:creator>
  <dc:description/>
  <dc:language>en-US</dc:language>
  <cp:lastModifiedBy/>
  <dcterms:modified xsi:type="dcterms:W3CDTF">2026-06-11T00:09:14Z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