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drawing3.xml" ContentType="application/vnd.openxmlformats-officedocument.drawing+xml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1.xml" ContentType="application/vnd.openxmlformats-officedocument.spreadsheetml.comments+xml"/>
  <Override PartName="/xl/comments1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nt Cost Model" sheetId="2" state="visible" r:id="rId4"/>
    <sheet name="Rent Density" sheetId="3" state="visible" r:id="rId5"/>
    <sheet name="Rent Solvency" sheetId="4" state="visible" r:id="rId6"/>
    <sheet name="AI" sheetId="5" state="visible" r:id="rId7"/>
    <sheet name="Fintech" sheetId="6" state="visible" r:id="rId8"/>
    <sheet name="Medical" sheetId="7" state="visible" r:id="rId9"/>
    <sheet name="Music" sheetId="8" state="visible" r:id="rId10"/>
    <sheet name="Web 2.0" sheetId="9" state="visible" r:id="rId11"/>
    <sheet name="CAC" sheetId="10" state="visible" r:id="rId12"/>
    <sheet name="Connector" sheetId="11" state="visible" r:id="rId13"/>
    <sheet name="Bandwidth" sheetId="12" state="visible" r:id="rId14"/>
    <sheet name="Summary" sheetId="13" state="visible" r:id="rId15"/>
    <sheet name="Mgmt Assumptions" sheetId="14" state="visible" r:id="rId16"/>
    <sheet name="Agent Cost" sheetId="15" state="visible" r:id="rId17"/>
    <sheet name="Mgmt Crossover" sheetId="16" state="visible" r:id="rId18"/>
    <sheet name="Local Inference" sheetId="17" state="visible" r:id="rId19"/>
    <sheet name="Algorithmic vs LLM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OCI x86 flexible compute list, Q1-Q2 2026: $0.025/OCPU-hr</t>
        </r>
      </text>
    </comment>
    <comment ref="B12" authorId="0">
      <text>
        <r>
          <rPr>
            <sz val="10"/>
            <rFont val="Arial"/>
            <family val="2"/>
          </rPr>
          <t xml:space="preserve">OCI flexible-shape memory list rate</t>
        </r>
      </text>
    </comment>
    <comment ref="B13" authorId="0">
      <text>
        <r>
          <rPr>
            <sz val="10"/>
            <rFont val="Arial"/>
            <family val="2"/>
          </rPr>
          <t xml:space="preserve">OCI Balanced block volume, ~$0.0255/GB-mo</t>
        </r>
      </text>
    </comment>
    <comment ref="B19" authorId="0">
      <text>
        <r>
          <rPr>
            <sz val="10"/>
            <rFont val="Arial"/>
            <family val="2"/>
          </rPr>
          <t xml:space="preserve">~10^6 deploys/day x 30 days at the split threshold (see Rent note Table 2)</t>
        </r>
      </text>
    </comment>
    <comment ref="B20" authorId="0">
      <text>
        <r>
          <rPr>
            <sz val="10"/>
            <rFont val="Arial"/>
            <family val="2"/>
          </rPr>
          <t xml:space="preserve">Mission-critical shards run below the split threshold for reliability</t>
        </r>
      </text>
    </comment>
    <comment ref="B24" authorId="0">
      <text>
        <r>
          <rPr>
            <sz val="10"/>
            <rFont val="Arial"/>
            <family val="2"/>
          </rPr>
          <t xml:space="preserve">Google Display Network average ~$3.12 CPM, 2026; $3.00 used as round assumption</t>
        </r>
      </text>
    </comment>
    <comment ref="B29" authorId="0">
      <text>
        <r>
          <rPr>
            <sz val="10"/>
            <rFont val="Arial"/>
            <family val="2"/>
          </rPr>
          <t xml:space="preserve">Most assumption-sensitive figure; right for settlement events, bimodal in practice</t>
        </r>
      </text>
    </comment>
    <comment ref="B43" authorId="0">
      <text>
        <r>
          <rPr>
            <sz val="10"/>
            <rFont val="Arial"/>
            <family val="2"/>
          </rPr>
          <t xml:space="preserve">OCI: first 10TB/mo free, then $0.0085/GB. Oracle reportedly moved to free egress across all regions in Feb 2026 - set to 0 to model that.</t>
        </r>
      </text>
    </comment>
    <comment ref="B45" authorId="0">
      <text>
        <r>
          <rPr>
            <sz val="10"/>
            <rFont val="Arial"/>
            <family val="2"/>
          </rPr>
          <t xml:space="preserve">Third-party CDN / edge delivery, not covered by OCI free egress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Cross-shard coordination cost in probe-equivalents per request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Right for settlement events; bimodal in practice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VHA serves ~9.1M enrolled veterans (va.gov, 2026)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Conservative; engaged listeners stream ~10/day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Commonly-cited industry folklore figure</t>
        </r>
      </text>
    </comment>
    <comment ref="B6" authorId="0">
      <text>
        <r>
          <rPr>
            <sz val="10"/>
            <rFont val="Arial"/>
            <family val="2"/>
          </rPr>
          <t xml:space="preserve">Commonly-cited industry folklore figure</t>
        </r>
      </text>
    </comment>
    <comment ref="B7" authorId="0">
      <text>
        <r>
          <rPr>
            <sz val="10"/>
            <rFont val="Arial"/>
            <family val="2"/>
          </rPr>
          <t xml:space="preserve">A head acquired once is a user in m markets via token portability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Under uniform mixing chi -&gt; (n-1)/n; clustered traffic gives a lower effective value</t>
        </r>
      </text>
    </comment>
  </commentList>
</comments>
</file>

<file path=xl/sharedStrings.xml><?xml version="1.0" encoding="utf-8"?>
<sst xmlns="http://schemas.openxmlformats.org/spreadsheetml/2006/main" count="611" uniqueCount="510">
  <si>
    <t xml:space="preserve">F1R3FLY — Sharding Economics Model</t>
  </si>
  <si>
    <t xml:space="preserve">Assumptions &amp; levers.  All downstream tabs are formula-linked to this sheet.</t>
  </si>
  <si>
    <t xml:space="preserve">Legend:</t>
  </si>
  <si>
    <t xml:space="preserve">Blue = input / lever</t>
  </si>
  <si>
    <t xml:space="preserve">Black = formula</t>
  </si>
  <si>
    <t xml:space="preserve">Green = cross-sheet link</t>
  </si>
  <si>
    <t xml:space="preserve">INFRASTRUCTURE (OCI list prices, Q1–Q2 2026)</t>
  </si>
  <si>
    <t xml:space="preserve">Nodes per shard</t>
  </si>
  <si>
    <t xml:space="preserve">nodes</t>
  </si>
  <si>
    <t xml:space="preserve">Cores (OCPU) per node</t>
  </si>
  <si>
    <t xml:space="preserve">OCPU</t>
  </si>
  <si>
    <t xml:space="preserve">Memory per node</t>
  </si>
  <si>
    <t xml:space="preserve">GB</t>
  </si>
  <si>
    <t xml:space="preserve">Storage per node</t>
  </si>
  <si>
    <t xml:space="preserve">TB</t>
  </si>
  <si>
    <t xml:space="preserve">Hours per month</t>
  </si>
  <si>
    <t xml:space="preserve">h</t>
  </si>
  <si>
    <t xml:space="preserve">Compute rate</t>
  </si>
  <si>
    <t xml:space="preserve">$/OCPU-hr</t>
  </si>
  <si>
    <t xml:space="preserve">Memory rate</t>
  </si>
  <si>
    <t xml:space="preserve">$/GB-hr</t>
  </si>
  <si>
    <t xml:space="preserve">Block storage rate</t>
  </si>
  <si>
    <t xml:space="preserve">$/GB-mo</t>
  </si>
  <si>
    <t xml:space="preserve">Ops / overhead</t>
  </si>
  <si>
    <t xml:space="preserve">%</t>
  </si>
  <si>
    <t xml:space="preserve">Per-residual footprint</t>
  </si>
  <si>
    <t xml:space="preserve">KB</t>
  </si>
  <si>
    <t xml:space="preserve">Residuals per deploy</t>
  </si>
  <si>
    <t xml:space="preserve">count</t>
  </si>
  <si>
    <t xml:space="preserve">CAPACITY &amp; PACKING</t>
  </si>
  <si>
    <t xml:space="preserve">Dense capacity per shard</t>
  </si>
  <si>
    <t xml:space="preserve">tx/mo</t>
  </si>
  <si>
    <t xml:space="preserve">Headroom capacity per shard</t>
  </si>
  <si>
    <t xml:space="preserve">Hot slots per shard</t>
  </si>
  <si>
    <t xml:space="preserve">slots</t>
  </si>
  <si>
    <t xml:space="preserve">ADVERTISING</t>
  </si>
  <si>
    <t xml:space="preserve">Display CPM</t>
  </si>
  <si>
    <t xml:space="preserve">$/1000 impr</t>
  </si>
  <si>
    <t xml:space="preserve">Per-impression value</t>
  </si>
  <si>
    <t xml:space="preserve">$/impr</t>
  </si>
  <si>
    <t xml:space="preserve">SECTOR FEES  (r_tx, blended $/transaction)</t>
  </si>
  <si>
    <t xml:space="preserve">AI</t>
  </si>
  <si>
    <t xml:space="preserve">$/tx</t>
  </si>
  <si>
    <t xml:space="preserve">Fintech</t>
  </si>
  <si>
    <t xml:space="preserve">Music</t>
  </si>
  <si>
    <t xml:space="preserve">$/play</t>
  </si>
  <si>
    <t xml:space="preserve">Medical — $/patient/month (R)</t>
  </si>
  <si>
    <t xml:space="preserve">$/pt-mo</t>
  </si>
  <si>
    <t xml:space="preserve">Medical — tx/patient/month (τ)</t>
  </si>
  <si>
    <t xml:space="preserve">tx/pt-mo</t>
  </si>
  <si>
    <t xml:space="preserve">Medical — implied $/tx</t>
  </si>
  <si>
    <t xml:space="preserve">COMPLIANCE MULTIPLIERS</t>
  </si>
  <si>
    <t xml:space="preserve">x</t>
  </si>
  <si>
    <t xml:space="preserve">Biotech</t>
  </si>
  <si>
    <t xml:space="preserve">Medical</t>
  </si>
  <si>
    <t xml:space="preserve">BANDWIDTH (OCI egress; set to 0 to model reported free-egress)</t>
  </si>
  <si>
    <t xml:space="preserve">Internet egress</t>
  </si>
  <si>
    <t xml:space="preserve">$/GB</t>
  </si>
  <si>
    <t xml:space="preserve">Inter-region egress</t>
  </si>
  <si>
    <t xml:space="preserve">CDN / edge egress</t>
  </si>
  <si>
    <t xml:space="preserve">Free egress tier</t>
  </si>
  <si>
    <t xml:space="preserve">TB/mo</t>
  </si>
  <si>
    <t xml:space="preserve">MEDIA PAYLOAD SIZES</t>
  </si>
  <si>
    <t xml:space="preserve">Radiology study (CT/MRI)</t>
  </si>
  <si>
    <t xml:space="preserve">MB</t>
  </si>
  <si>
    <t xml:space="preserve">Audio, compressed</t>
  </si>
  <si>
    <t xml:space="preserve">Audio, lossless / hi-res</t>
  </si>
  <si>
    <t xml:space="preserve">Radiology retrievals / patient-mo</t>
  </si>
  <si>
    <t xml:space="preserve">Rent — Monthly Network Cost of One Shard</t>
  </si>
  <si>
    <t xml:space="preserve">Builds the all-in monthly cost C that rent amortizes.  Linked to Assumptions.</t>
  </si>
  <si>
    <t xml:space="preserve">Resource</t>
  </si>
  <si>
    <t xml:space="preserve">Quantity</t>
  </si>
  <si>
    <t xml:space="preserve">Unit price ($)</t>
  </si>
  <si>
    <t xml:space="preserve">Monthly cost ($)</t>
  </si>
  <si>
    <t xml:space="preserve">Compute (OCPU)</t>
  </si>
  <si>
    <t xml:space="preserve">Memory (GB)</t>
  </si>
  <si>
    <t xml:space="preserve">Block storage (GB)</t>
  </si>
  <si>
    <t xml:space="preserve">Egress (&lt;=10TB free)</t>
  </si>
  <si>
    <t xml:space="preserve">Subtotal</t>
  </si>
  <si>
    <t xml:space="preserve">All-in monthly cost  C</t>
  </si>
  <si>
    <t xml:space="preserve">Per-payload cost at dense packing</t>
  </si>
  <si>
    <t xml:space="preserve">Rent — Tenant Density, Base Rent &amp; Split Threshold</t>
  </si>
  <si>
    <t xml:space="preserve">Standing tenants and base rent versus client deployment rate.</t>
  </si>
  <si>
    <t xml:space="preserve">Deploys / day</t>
  </si>
  <si>
    <t xml:space="preserve">Standing tenants</t>
  </si>
  <si>
    <t xml:space="preserve">Hot-table occupancy</t>
  </si>
  <si>
    <t xml:space="preserve">Base rent ($/tenant-mo)</t>
  </si>
  <si>
    <t xml:space="preserve">SPLIT THRESHOLD  (when a shard should divide)</t>
  </si>
  <si>
    <t xml:space="preserve">Split overhead K (probe-equiv)</t>
  </si>
  <si>
    <t xml:space="preserve">Conventional open addressing  α*</t>
  </si>
  <si>
    <t xml:space="preserve">Elastic constant C</t>
  </si>
  <si>
    <t xml:space="preserve">Elastic hashing  α*  (FKK 2025)</t>
  </si>
  <si>
    <t xml:space="preserve">Rent — Solvency Grid</t>
  </si>
  <si>
    <t xml:space="preserve">Net rent = base rent(D) − access fee.  Green = self-sustaining (surplus).</t>
  </si>
  <si>
    <t xml:space="preserve">Deploys/day \ fee</t>
  </si>
  <si>
    <t xml:space="preserve">AI (ASI Alliance) — the growth engine</t>
  </si>
  <si>
    <t xml:space="preserve">Unbounded, machine-generated volume.  Anchors the rollout.</t>
  </si>
  <si>
    <t xml:space="preserve">PARAMETERS</t>
  </si>
  <si>
    <t xml:space="preserve">Fee r_tx ($/tx)</t>
  </si>
  <si>
    <t xml:space="preserve">Compliance multiplier</t>
  </si>
  <si>
    <t xml:space="preserve">All-in cost C ($/shard-mo)</t>
  </si>
  <si>
    <t xml:space="preserve">Effective cost C_eff ($/shard-mo)</t>
  </si>
  <si>
    <t xml:space="preserve">Dense capacity (tx/shard-mo)</t>
  </si>
  <si>
    <t xml:space="preserve">Transactions per agent / month</t>
  </si>
  <si>
    <t xml:space="preserve">Break-even traffic (tx/mo)</t>
  </si>
  <si>
    <t xml:space="preserve">Break-even load (% of shard)</t>
  </si>
  <si>
    <t xml:space="preserve">Year</t>
  </si>
  <si>
    <t xml:space="preserve">Agents</t>
  </si>
  <si>
    <t xml:space="preserve">Monthly tx</t>
  </si>
  <si>
    <t xml:space="preserve">Shards</t>
  </si>
  <si>
    <t xml:space="preserve">Cost ($)</t>
  </si>
  <si>
    <t xml:space="preserve">Revenue ($)</t>
  </si>
  <si>
    <t xml:space="preserve">Margin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</si>
  <si>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</si>
  <si>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</si>
  <si>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</si>
  <si>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</si>
  <si>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</si>
  <si>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Fintech (Boring Financial) — the density engine</t>
  </si>
  <si>
    <t xml:space="preserve">Highest revenue density.  Fee is bimodal: model instrument classes separately.</t>
  </si>
  <si>
    <t xml:space="preserve">Headroom capacity (tx/shard-mo)</t>
  </si>
  <si>
    <t xml:space="preserve">Medical (VA) — the cohort-capped annuity</t>
  </si>
  <si>
    <t xml:space="preserve">Logistic growth, hard cohort ceiling, highest assurance.  Deploys last.</t>
  </si>
  <si>
    <t xml:space="preserve">Enrolled cohort (veterans)</t>
  </si>
  <si>
    <t xml:space="preserve">Target share</t>
  </si>
  <si>
    <t xml:space="preserve">Target patients</t>
  </si>
  <si>
    <t xml:space="preserve">$/patient/month (R)</t>
  </si>
  <si>
    <t xml:space="preserve">tx/patient/month (τ)</t>
  </si>
  <si>
    <t xml:space="preserve">Break-even patients</t>
  </si>
  <si>
    <t xml:space="preserve">Patients per shard</t>
  </si>
  <si>
    <t xml:space="preserve">Patients</t>
  </si>
  <si>
    <t xml:space="preserve">Annual rev ($)</t>
  </si>
  <si>
    <t xml:space="preserve">Annual cost ($)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</si>
  <si>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</si>
  <si>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</si>
  <si>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</si>
  <si>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</si>
  <si>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</si>
  <si>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Decade total</t>
  </si>
  <si>
    <t xml:space="preserve">Music — the cold-tail fill</t>
  </si>
  <si>
    <t xml:space="preserve">Ten-artist indie stable.  High margin but roster-fragile; ideal as packing, not anchor.</t>
  </si>
  <si>
    <t xml:space="preserve">Artists in stable</t>
  </si>
  <si>
    <t xml:space="preserve">Followers per artist</t>
  </si>
  <si>
    <t xml:space="preserve">Plays per audient / month</t>
  </si>
  <si>
    <t xml:space="preserve">Total plays / month</t>
  </si>
  <si>
    <t xml:space="preserve">Fee r_tx ($/play)</t>
  </si>
  <si>
    <t xml:space="preserve">Shards (per-play, on-chain)</t>
  </si>
  <si>
    <t xml:space="preserve">Cost ($/mo)</t>
  </si>
  <si>
    <t xml:space="preserve">Break-even fee ($/play)</t>
  </si>
  <si>
    <t xml:space="preserve">FEE SENSITIVITY (per-play, on-chain)</t>
  </si>
  <si>
    <t xml:space="preserve">Fee / play ($)</t>
  </si>
  <si>
    <t xml:space="preserve">BATCHED SETTLEMENT ALTERNATIVE</t>
  </si>
  <si>
    <t xml:space="preserve">Batch ratio (plays : settlement)</t>
  </si>
  <si>
    <t xml:space="preserve">Batched tx / month</t>
  </si>
  <si>
    <t xml:space="preserve">Batched shards</t>
  </si>
  <si>
    <t xml:space="preserve">Batched cost ($/mo)</t>
  </si>
  <si>
    <t xml:space="preserve">Effective take / settlement ($)</t>
  </si>
  <si>
    <t xml:space="preserve">Batched revenue ($/mo)</t>
  </si>
  <si>
    <t xml:space="preserve">Batched margin</t>
  </si>
  <si>
    <t xml:space="preserve">Web 2.0 — participatory advertising</t>
  </si>
  <si>
    <t xml:space="preserve">Users pay network cost in tokenised impressions; one impression covers ~20 payloads.</t>
  </si>
  <si>
    <t xml:space="preserve">Per-payload cost ($)</t>
  </si>
  <si>
    <t xml:space="preserve">Display CPM ($)</t>
  </si>
  <si>
    <t xml:space="preserve">Per-impression value ($)</t>
  </si>
  <si>
    <t xml:space="preserve">Payloads covered per impression</t>
  </si>
  <si>
    <t xml:space="preserve">Property</t>
  </si>
  <si>
    <t xml:space="preserve">Users</t>
  </si>
  <si>
    <t xml:space="preserve">Payloads/mo</t>
  </si>
  <si>
    <t xml:space="preserve">Infra cost ($/mo)</t>
  </si>
  <si>
    <t xml:space="preserve">Payloads/user-mo</t>
  </si>
  <si>
    <t xml:space="preserve">Cost/user-mo ($)</t>
  </si>
  <si>
    <t xml:space="preserve">Break-even ads/user/day</t>
  </si>
  <si>
    <t xml:space="preserve">Gmail</t>
  </si>
  <si>
    <t xml:space="preserve">Maps</t>
  </si>
  <si>
    <t xml:space="preserve">Docs</t>
  </si>
  <si>
    <t xml:space="preserve">PRIVACY WEDGE &amp; THIN-MARGIN ECONOMICS</t>
  </si>
  <si>
    <t xml:space="preserve">Gmail privacy slice (%)</t>
  </si>
  <si>
    <t xml:space="preserve">Wedge users</t>
  </si>
  <si>
    <t xml:space="preserve">Wedge payloads/mo</t>
  </si>
  <si>
    <t xml:space="preserve">Wedge shards</t>
  </si>
  <si>
    <t xml:space="preserve">Wedge infra ($/mo)</t>
  </si>
  <si>
    <t xml:space="preserve">Per-payload take ($)</t>
  </si>
  <si>
    <t xml:space="preserve">Gmail-scale monthly take ($)</t>
  </si>
  <si>
    <t xml:space="preserve">Customer Acquisition — Wholesale (anchor) vs Retail (D2C)</t>
  </si>
  <si>
    <t xml:space="preserve">Court anchors, not heads.  CAC/head = A / (population x conversion).</t>
  </si>
  <si>
    <t xml:space="preserve">BENCHMARKS &amp; LEVERS</t>
  </si>
  <si>
    <t xml:space="preserve">Facebook D2C CAC ($/head)</t>
  </si>
  <si>
    <t xml:space="preserve">WhatsApp D2C CAC ($/head)</t>
  </si>
  <si>
    <t xml:space="preserve">Cross-market multiplier m</t>
  </si>
  <si>
    <t xml:space="preserve">Channel / anchor</t>
  </si>
  <si>
    <t xml:space="preserve">A ($)</t>
  </si>
  <si>
    <t xml:space="preserve">Population/anchor</t>
  </si>
  <si>
    <t xml:space="preserve">Conversion c</t>
  </si>
  <si>
    <t xml:space="preserve">Heads acquired</t>
  </si>
  <si>
    <t xml:space="preserve">CAC/head ($)</t>
  </si>
  <si>
    <t xml:space="preserve">x vs WhatsApp</t>
  </si>
  <si>
    <t xml:space="preserve">x vs Facebook</t>
  </si>
  <si>
    <t xml:space="preserve">Music — inbound</t>
  </si>
  <si>
    <t xml:space="preserve">Music — mid</t>
  </si>
  <si>
    <t xml:space="preserve">Music — conservative</t>
  </si>
  <si>
    <t xml:space="preserve">Healthcare — mid hospital</t>
  </si>
  <si>
    <t xml:space="preserve">VA — conservative</t>
  </si>
  <si>
    <t xml:space="preserve">VA — heavy gov. sale</t>
  </si>
  <si>
    <t xml:space="preserve">LTV &amp; PAYBACK</t>
  </si>
  <si>
    <t xml:space="preserve">Channel</t>
  </si>
  <si>
    <t xml:space="preserve">LTV ($/head-mo)</t>
  </si>
  <si>
    <t xml:space="preserve">Payback (mo, 1 market)</t>
  </si>
  <si>
    <t xml:space="preserve">Eff. CAC w/ cross-mkt ($)</t>
  </si>
  <si>
    <t xml:space="preserve">Payback (mo, cross-mkt)</t>
  </si>
  <si>
    <t xml:space="preserve">Music (conservative)</t>
  </si>
  <si>
    <t xml:space="preserve">Healthcare (VA conservative)</t>
  </si>
  <si>
    <t xml:space="preserve">Note: music's true cross-market LTV is dominated by direct artist sales (a $10 album at a 3% fee = $0.30), not 4x streaming; m is a coarse lever.</t>
  </si>
  <si>
    <t xml:space="preserve">Connector Shard — Cross-Shard Interchange</t>
  </si>
  <si>
    <t xml:space="preserve">Where F1R3FLY taxes value moving between shards.  Revenue ~ volume x chi x fee.</t>
  </si>
  <si>
    <t xml:space="preserve">Core cross-shard fee r_x ($/tx)</t>
  </si>
  <si>
    <t xml:space="preserve">Core effective χ</t>
  </si>
  <si>
    <t xml:space="preserve">Web 2.0 cross-shard fee ($/payload)</t>
  </si>
  <si>
    <t xml:space="preserve">Web 2.0 effective χ</t>
  </si>
  <si>
    <t xml:space="preserve">CONNECTABLE VOLUME (mature, linked from sector tabs)</t>
  </si>
  <si>
    <t xml:space="preserve">AI (year 5)</t>
  </si>
  <si>
    <t xml:space="preserve">Fintech (year 5)</t>
  </si>
  <si>
    <t xml:space="preserve">Medical (plateau)</t>
  </si>
  <si>
    <t xml:space="preserve">Music (plays)</t>
  </si>
  <si>
    <t xml:space="preserve">Core total (tx/mo)</t>
  </si>
  <si>
    <t xml:space="preserve">Web 2.0 payloads (if connected)</t>
  </si>
  <si>
    <t xml:space="preserve">CONNECTOR ECONOMICS</t>
  </si>
  <si>
    <t xml:space="preserve">Core cross-shard tx / mo</t>
  </si>
  <si>
    <t xml:space="preserve">Core connector revenue / mo</t>
  </si>
  <si>
    <t xml:space="preserve">Web 2.0 cross-shard tx / mo</t>
  </si>
  <si>
    <t xml:space="preserve">Web 2.0 connector revenue / mo</t>
  </si>
  <si>
    <t xml:space="preserve">Total connector revenue / mo</t>
  </si>
  <si>
    <t xml:space="preserve">Connector infra shards</t>
  </si>
  <si>
    <t xml:space="preserve">Connector cost / mo</t>
  </si>
  <si>
    <t xml:space="preserve">Connector margin</t>
  </si>
  <si>
    <t xml:space="preserve">METCALFE:  χ -&gt; (n-1)/n  grows the core tax base</t>
  </si>
  <si>
    <t xml:space="preserve">Connected shards n</t>
  </si>
  <si>
    <t xml:space="preserve">χ = (n-1)/n</t>
  </si>
  <si>
    <t xml:space="preserve">Core connector rev/mo</t>
  </si>
  <si>
    <t xml:space="preserve">Bandwidth — Media Egress (the per-byte exception)</t>
  </si>
  <si>
    <t xml:space="preserve">Egress = payload size x moves x rate.  Negligible for text; dominant for imaging/lossless audio.</t>
  </si>
  <si>
    <t xml:space="preserve">PARAMETERS (linked from Assumptions)</t>
  </si>
  <si>
    <t xml:space="preserve">Internet egress ($/GB)</t>
  </si>
  <si>
    <t xml:space="preserve">CDN / edge egress ($/GB)</t>
  </si>
  <si>
    <t xml:space="preserve">Inter-region egress ($/GB)</t>
  </si>
  <si>
    <t xml:space="preserve">Free egress tier (TB/mo)</t>
  </si>
  <si>
    <t xml:space="preserve">Note: first 10TB/mo free (per tenancy); Oracle reportedly moved to free egress across all regions Feb 2026. Figures below are marginal egress at scale (free tier negligible).</t>
  </si>
  <si>
    <t xml:space="preserve">EGRESS BY SCENARIO</t>
  </si>
  <si>
    <t xml:space="preserve">Scenario</t>
  </si>
  <si>
    <t xml:space="preserve">Payload (MB)</t>
  </si>
  <si>
    <t xml:space="preserve">GB moved/mo</t>
  </si>
  <si>
    <t xml:space="preserve">Egress @ internet ($/mo)</t>
  </si>
  <si>
    <t xml:space="preserve">Egress @ CDN ($/mo)</t>
  </si>
  <si>
    <t xml:space="preserve">Egress/payload ($)</t>
  </si>
  <si>
    <t xml:space="preserve">% of sector rev</t>
  </si>
  <si>
    <t xml:space="preserve">Radiology (medical imaging)</t>
  </si>
  <si>
    <t xml:space="preserve">Music, compressed</t>
  </si>
  <si>
    <t xml:space="preserve">Music, lossless / hi-res</t>
  </si>
  <si>
    <t xml:space="preserve">Transactional (AI / fintech / EHR record)</t>
  </si>
  <si>
    <t xml:space="preserve">negligible</t>
  </si>
  <si>
    <t xml:space="preserve">MUSIC: BANDWIDTH-INCLUSIVE BREAK-EVEN FEE</t>
  </si>
  <si>
    <t xml:space="preserve">Music shard+compute cost ($/mo)</t>
  </si>
  <si>
    <t xml:space="preserve">Break-even fee, compressed ($/play)</t>
  </si>
  <si>
    <t xml:space="preserve">Break-even fee, lossless ($/play)</t>
  </si>
  <si>
    <t xml:space="preserve">Current streaming fee ($/play)</t>
  </si>
  <si>
    <t xml:space="preserve">Note: lossless exceeds the streaming fee -- needs a higher fee or edge caching.</t>
  </si>
  <si>
    <t xml:space="preserve">Summary — Five Sectors plus Web 2.0</t>
  </si>
  <si>
    <t xml:space="preserve">Break-even loads link live to each sector tab.</t>
  </si>
  <si>
    <t xml:space="preserve">Sector</t>
  </si>
  <si>
    <t xml:space="preserve">Revenue density</t>
  </si>
  <si>
    <t xml:space="preserve">Risk</t>
  </si>
  <si>
    <t xml:space="preserve">Boundedness</t>
  </si>
  <si>
    <t xml:space="preserve">Break-even load</t>
  </si>
  <si>
    <t xml:space="preserve">Strategic role</t>
  </si>
  <si>
    <t xml:space="preserve">$0.01 / tx</t>
  </si>
  <si>
    <t xml:space="preserve">low–mod</t>
  </si>
  <si>
    <t xml:space="preserve">none (machine vol.)</t>
  </si>
  <si>
    <t xml:space="preserve">anchor / growth</t>
  </si>
  <si>
    <t xml:space="preserve">~$0.25 / tx</t>
  </si>
  <si>
    <t xml:space="preserve">high</t>
  </si>
  <si>
    <t xml:space="preserve">semi-bounded</t>
  </si>
  <si>
    <t xml:space="preserve">margin engine</t>
  </si>
  <si>
    <t xml:space="preserve">high / patient</t>
  </si>
  <si>
    <t xml:space="preserve">highest</t>
  </si>
  <si>
    <t xml:space="preserve">hard cohort cap</t>
  </si>
  <si>
    <t xml:space="preserve">cash-cow annuity</t>
  </si>
  <si>
    <t xml:space="preserve">$0.0003 / tx</t>
  </si>
  <si>
    <t xml:space="preserve">low</t>
  </si>
  <si>
    <t xml:space="preserve">roster-dependent</t>
  </si>
  <si>
    <t xml:space="preserve">~near full</t>
  </si>
  <si>
    <t xml:space="preserve">cold-tail fill</t>
  </si>
  <si>
    <t xml:space="preserve">Web 2.0</t>
  </si>
  <si>
    <t xml:space="preserve">ad-funded</t>
  </si>
  <si>
    <t xml:space="preserve">astronomical</t>
  </si>
  <si>
    <t xml:space="preserve">~3 ads/day</t>
  </si>
  <si>
    <t xml:space="preserve">mass-market moat</t>
  </si>
  <si>
    <t xml:space="preserve">Rollout order:</t>
  </si>
  <si>
    <t xml:space="preserve">AI (anchor) → Fintech (margin) → Medical (annuity); Music = continuous fill; Web 2.0 = mass-market substrate via privacy wedge.</t>
  </si>
  <si>
    <t xml:space="preserve">Cross-cutting:</t>
  </si>
  <si>
    <t xml:space="preserve">CAC tab = wholesale (anchor) acquisition economics.  Connector tab = the cross-shard interchange where the network monetises interoperability — the apex revenue layer at scale.</t>
  </si>
  <si>
    <t xml:space="preserve">Shard-Tree Management — Assumptions &amp; Levers</t>
  </si>
  <si>
    <t xml:space="preserve">Inputs for the agent-vs-DevOps crossover. Blue = lever; green = cross-sheet link. Sources noted at right.</t>
  </si>
  <si>
    <t xml:space="preserve">LABOR  (loaded human cost)</t>
  </si>
  <si>
    <t xml:space="preserve">SRE / DevOps total comp ($/yr)</t>
  </si>
  <si>
    <t xml:space="preserve">$/yr</t>
  </si>
  <si>
    <t xml:space="preserve">Source: Built In 2026 avg total comp SRE $147k / DevOps $150k</t>
  </si>
  <si>
    <t xml:space="preserve">Loading factor (benefits, overhead, mgmt, equip)</t>
  </si>
  <si>
    <t xml:space="preserve">fully-loaded employer cost / comp</t>
  </si>
  <si>
    <t xml:space="preserve">Loaded SRE cost ($/mo)</t>
  </si>
  <si>
    <t xml:space="preserve">$/mo</t>
  </si>
  <si>
    <t xml:space="preserve">DevOps span of control sigma_h (shards/SRE)</t>
  </si>
  <si>
    <t xml:space="preserve">shards/SRE</t>
  </si>
  <si>
    <t xml:space="preserve">stateful 10-node consensus clusters w/ IaC</t>
  </si>
  <si>
    <t xml:space="preserve">DevOps coverage floor (min SREs, 24/7 rotation)</t>
  </si>
  <si>
    <t xml:space="preserve">SREs</t>
  </si>
  <si>
    <t xml:space="preserve">2 = lean pager rotation; 4-5 = true 24/7 SLA</t>
  </si>
  <si>
    <t xml:space="preserve">Hybrid span of control sigma_hy (shards/SRE)</t>
  </si>
  <si>
    <t xml:space="preserve">agent absorbs routine; human handles exceptions -&gt; ~10x reach</t>
  </si>
  <si>
    <t xml:space="preserve">Hybrid exception floor (min SREs)</t>
  </si>
  <si>
    <t xml:space="preserve">one human reachable for hardware / SLA escalation</t>
  </si>
  <si>
    <t xml:space="preserve">AGENT PLATFORM  (fixed cost of having an ops-agent)</t>
  </si>
  <si>
    <t xml:space="preserve">Platform-owner FTEs (harness, evals, guardrails)</t>
  </si>
  <si>
    <t xml:space="preserve">FTE</t>
  </si>
  <si>
    <t xml:space="preserve">engineers who build/maintain the agent, not per-shard</t>
  </si>
  <si>
    <t xml:space="preserve">Agent tooling / observability ($/mo)</t>
  </si>
  <si>
    <t xml:space="preserve">telemetry pipeline, eval harness, run logging</t>
  </si>
  <si>
    <t xml:space="preserve">Agent platform fixed cost ($/mo)</t>
  </si>
  <si>
    <t xml:space="preserve">Full-auto premium-support / SLA retainer ($/mo)</t>
  </si>
  <si>
    <t xml:space="preserve">cloud-native: provider swaps disks; premium support for SLA disputes</t>
  </si>
  <si>
    <t xml:space="preserve">MODEL PRICES  ($/MTok, Anthropic API, Jun 2026)</t>
  </si>
  <si>
    <t xml:space="preserve">Model</t>
  </si>
  <si>
    <t xml:space="preserve">Input</t>
  </si>
  <si>
    <t xml:space="preserve">Output</t>
  </si>
  <si>
    <t xml:space="preserve">note</t>
  </si>
  <si>
    <t xml:space="preserve">Haiku 4.5</t>
  </si>
  <si>
    <t xml:space="preserve">routine monitoring</t>
  </si>
  <si>
    <t xml:space="preserve">Sonnet 4.6</t>
  </si>
  <si>
    <t xml:space="preserve">provisioning / config</t>
  </si>
  <si>
    <t xml:space="preserve">Opus 4.8</t>
  </si>
  <si>
    <t xml:space="preserve">hard decisions: split / migrate / triage</t>
  </si>
  <si>
    <t xml:space="preserve">Cache multiplier (cached input price / fresh)</t>
  </si>
  <si>
    <t xml:space="preserve">prompt caching = 90% off cached input</t>
  </si>
  <si>
    <t xml:space="preserve">AGENT WORKLOAD  (per shard)</t>
  </si>
  <si>
    <t xml:space="preserve">Activity</t>
  </si>
  <si>
    <t xml:space="preserve">rate</t>
  </si>
  <si>
    <t xml:space="preserve">in tok</t>
  </si>
  <si>
    <t xml:space="preserve">out tok</t>
  </si>
  <si>
    <t xml:space="preserve">Routine checks / shard / DAY</t>
  </si>
  <si>
    <t xml:space="preserve">  routine cached-input fraction</t>
  </si>
  <si>
    <t xml:space="preserve">Hard decisions / shard / MONTH</t>
  </si>
  <si>
    <t xml:space="preserve">  hard cached-input fraction</t>
  </si>
  <si>
    <t xml:space="preserve">Provisioning episodes / shard / MONTH</t>
  </si>
  <si>
    <t xml:space="preserve">  provisioning cached-input fraction</t>
  </si>
  <si>
    <t xml:space="preserve">Agent Inference Cost — per Shard-Month</t>
  </si>
  <si>
    <t xml:space="preserve">Transparent token build-up of what it costs an agent to manage ONE shard for one month. Green = linked to Mgmt Assumptions.</t>
  </si>
  <si>
    <t xml:space="preserve">calls / shard-mo</t>
  </si>
  <si>
    <t xml:space="preserve">cached frac</t>
  </si>
  <si>
    <t xml:space="preserve">$ input / call</t>
  </si>
  <si>
    <t xml:space="preserve">$ output / call</t>
  </si>
  <si>
    <t xml:space="preserve">$ / shard-mo</t>
  </si>
  <si>
    <t xml:space="preserve">Routine monitoring (Haiku 4.5)</t>
  </si>
  <si>
    <t xml:space="preserve">Hard decisions (Opus 4.8)</t>
  </si>
  <si>
    <t xml:space="preserve">Provisioning / stand-up (Sonnet 4.6)</t>
  </si>
  <si>
    <t xml:space="preserve">TOTAL agent inference  a  ($/shard-mo)</t>
  </si>
  <si>
    <t xml:space="preserve">For comparison:</t>
  </si>
  <si>
    <t xml:space="preserve">Infra cost per shard  C  ($/shard-mo)</t>
  </si>
  <si>
    <t xml:space="preserve">Agent mgmt as % of infra</t>
  </si>
  <si>
    <t xml:space="preserve">Human marginal cost / shard, pure DevOps ($/shard-mo)</t>
  </si>
  <si>
    <t xml:space="preserve">Human marginal cost / shard, hybrid ($/shard-mo)</t>
  </si>
  <si>
    <t xml:space="preserve">Management Crossover — Agent vs DevOps vs Hybrid</t>
  </si>
  <si>
    <t xml:space="preserve">Monthly management cost of the WHOLE shard tree as it grows. Three regimes. Cheapest is highlighted; the flip is the crossover.</t>
  </si>
  <si>
    <t xml:space="preserve">Anchors:</t>
  </si>
  <si>
    <t xml:space="preserve">agent a ($/shard-mo)</t>
  </si>
  <si>
    <t xml:space="preserve">infra C ($/shard-mo)</t>
  </si>
  <si>
    <t xml:space="preserve">Shards
S</t>
  </si>
  <si>
    <t xml:space="preserve">DevOps
SREs</t>
  </si>
  <si>
    <t xml:space="preserve">DevOps
$/mo</t>
  </si>
  <si>
    <t xml:space="preserve">Full-Auto
$/mo (floor)</t>
  </si>
  <si>
    <t xml:space="preserve">Hybrid
SREs</t>
  </si>
  <si>
    <t xml:space="preserve">Hybrid
$/mo</t>
  </si>
  <si>
    <t xml:space="preserve">Feasible
best</t>
  </si>
  <si>
    <t xml:space="preserve">DevOps
$/shard</t>
  </si>
  <si>
    <t xml:space="preserve">Hybrid
$/shard</t>
  </si>
  <si>
    <t xml:space="preserve">Infra
$/mo</t>
  </si>
  <si>
    <t xml:space="preserve">Hybrid mgmt
% of infra</t>
  </si>
  <si>
    <t xml:space="preserve">DevOps mgmt
% of infra</t>
  </si>
  <si>
    <t xml:space="preserve">CROSSOVER &amp; VERDICT</t>
  </si>
  <si>
    <t xml:space="preserve">Hybrid beats DevOps above ~ (shards)</t>
  </si>
  <si>
    <t xml:space="preserve">Full-Auto beats DevOps above ~ (shards)</t>
  </si>
  <si>
    <t xml:space="preserve">At connector maturity (12,074 shards): DevOps vs Hybrid saving</t>
  </si>
  <si>
    <t xml:space="preserve">  ... Hybrid as a fraction of DevOps cost there</t>
  </si>
  <si>
    <t xml:space="preserve">Reading the table:</t>
  </si>
  <si>
    <t xml:space="preserve">  - DevOps cost is a STEP function: a high 24/7 coverage floor, then steep marginal cost (one SRE per sigma_h shards).</t>
  </si>
  <si>
    <t xml:space="preserve">  - Full-Auto is nearly FLAT: a fixed agent-platform cost plus ~$ a few /shard of inference. In raw dollars it is cheapest at</t>
  </si>
  <si>
    <t xml:space="preserve">    EVERY scale -- but it is a price FLOOR, not a deployable plan: agents cannot swap a failed disk or litigate an SLA.</t>
  </si>
  <si>
    <t xml:space="preserve">  - The feasible choice is therefore DevOps vs HYBRID (col G). Hybrid = Full-Auto inference + a thin human team sized by</t>
  </si>
  <si>
    <t xml:space="preserve">    EXCEPTION rate (sigma_hy &gt;&gt; sigma_h), not by shard count. Below the crossover, a lean human team is cheaper than</t>
  </si>
  <si>
    <t xml:space="preserve">    standing up + owning the agent platform; above it, human marginal cost ($/sigma_h per shard) dominates and Hybrid wins.</t>
  </si>
  <si>
    <t xml:space="preserve">  - All values are driven by 'Mgmt Assumptions'. Raise the DevOps floor toward 4-5 (strict 24/7 SLA) and Hybrid wins from S=1.</t>
  </si>
  <si>
    <t xml:space="preserve">Local Inference — Self-Hosted Model vs Third-Party API</t>
  </si>
  <si>
    <t xml:space="preserve">Dedicate GPU hardware to the agent's model and inference becomes a FIXED step cost (cheap only when busy), not per-token opex.</t>
  </si>
  <si>
    <t xml:space="preserve">DEDICATED GPU (OCI inference shape, e.g. L40S 48GB / A10)</t>
  </si>
  <si>
    <t xml:space="preserve">GPU shape list price ($/GPU-hr, PAYG)</t>
  </si>
  <si>
    <t xml:space="preserve">$/hr</t>
  </si>
  <si>
    <t xml:space="preserve">Source: OCI A10/L40S ~$1.20-2.00 PAYG; 3-yr Universal Credits ~$0.85</t>
  </si>
  <si>
    <t xml:space="preserve">GPU node cost ($/mo)</t>
  </si>
  <si>
    <t xml:space="preserve">Sustained throughput (tokens/sec/GPU)</t>
  </si>
  <si>
    <t xml:space="preserve">tok/s</t>
  </si>
  <si>
    <t xml:space="preserve">small/mid open model, quantized, continuous batching</t>
  </si>
  <si>
    <t xml:space="preserve">Max sustainable utilization</t>
  </si>
  <si>
    <t xml:space="preserve">headroom for bursts; cannot run a shared service at 100%</t>
  </si>
  <si>
    <t xml:space="preserve">Effective capacity (tokens/GPU/mo)</t>
  </si>
  <si>
    <t xml:space="preserve">tok/mo</t>
  </si>
  <si>
    <t xml:space="preserve">ROUTINE WORKLOAD (the self-hostable tier)</t>
  </si>
  <si>
    <t xml:space="preserve">Routine tokens / shard-mo</t>
  </si>
  <si>
    <t xml:space="preserve">tok</t>
  </si>
  <si>
    <t xml:space="preserve">720 calls x (4000 in + 500 out)</t>
  </si>
  <si>
    <t xml:space="preserve">Routine API cost / shard-mo (Haiku 4.5)</t>
  </si>
  <si>
    <t xml:space="preserve">$/shard</t>
  </si>
  <si>
    <t xml:space="preserve">Shards one GPU saturates</t>
  </si>
  <si>
    <t xml:space="preserve">shards/GPU</t>
  </si>
  <si>
    <t xml:space="preserve">Break-even tree size (1 GPU &lt; API)</t>
  </si>
  <si>
    <t xml:space="preserve">shards</t>
  </si>
  <si>
    <t xml:space="preserve">below this, the GPU sits idle and API is cheaper</t>
  </si>
  <si>
    <t xml:space="preserve">Routine
tokens/mo</t>
  </si>
  <si>
    <t xml:space="preserve">GPUs
needed</t>
  </si>
  <si>
    <t xml:space="preserve">GPU
util</t>
  </si>
  <si>
    <t xml:space="preserve">Local routine
$/mo</t>
  </si>
  <si>
    <t xml:space="preserve">Local
$/shard</t>
  </si>
  <si>
    <t xml:space="preserve">API routine
$/mo</t>
  </si>
  <si>
    <t xml:space="preserve">API
$/shard</t>
  </si>
  <si>
    <t xml:space="preserve">Cheaper</t>
  </si>
  <si>
    <t xml:space="preserve">Local % 
of API</t>
  </si>
  <si>
    <t xml:space="preserve">WHY HARD DECISIONS STAY ON THE API</t>
  </si>
  <si>
    <t xml:space="preserve">Frontier local node (8x H100, BM.GPU.H100.8) $/GPU-hr</t>
  </si>
  <si>
    <t xml:space="preserve">Source: OCI BM.GPU.H100.8 list ~$10/GPU-hr</t>
  </si>
  <si>
    <t xml:space="preserve">  ... 8-GPU node fixed floor ($/mo)</t>
  </si>
  <si>
    <t xml:space="preserve">Hard-decision API spend at 12,074 shards ($/mo)</t>
  </si>
  <si>
    <t xml:space="preserve">Frontier self-host floor exceeds the entire hard-decision API bill until the tree is enormous,</t>
  </si>
  <si>
    <t xml:space="preserve">and open-weight quality may still lag Opus. Keep the low-volume frontier tier on the API.</t>
  </si>
  <si>
    <t xml:space="preserve">BLENDED AGENT COST: API-only vs local-routine</t>
  </si>
  <si>
    <t xml:space="preserve">a, S=334</t>
  </si>
  <si>
    <t xml:space="preserve">a, S=12,074</t>
  </si>
  <si>
    <t xml:space="preserve">Full-Auto floor @12,074</t>
  </si>
  <si>
    <t xml:space="preserve">API-only (flat a)</t>
  </si>
  <si>
    <t xml:space="preserve">Local routine + API frontier</t>
  </si>
  <si>
    <t xml:space="preserve">Note: at S=334 local routine is WORSE than API (GPU underused) -&gt; use API; switch to local above the break-even.</t>
  </si>
  <si>
    <t xml:space="preserve">Reading this tab:</t>
  </si>
  <si>
    <t xml:space="preserve">  - API inference is VARIABLE: ~$2.61/shard routine, zero fixed. Cheap when the tree is small.</t>
  </si>
  <si>
    <t xml:space="preserve">  - Local inference is a FIXED STEP: one GPU is ~$1,095/mo whether it serves 1 shard or 2,800. Cheap only when busy.</t>
  </si>
  <si>
    <t xml:space="preserve">  - The two cross at the break-even tree size (~420 shards by default): below it API wins; above it the GPU saturates and</t>
  </si>
  <si>
    <t xml:space="preserve">    local routine cost falls to ~$0.45/shard, a ~6x cut on the routine tier.</t>
  </si>
  <si>
    <t xml:space="preserve">  - This does NOT move the agent-vs-DevOps crossover (~60 shards), which is set by HUMAN cost; below ~420 shards you use</t>
  </si>
  <si>
    <t xml:space="preserve">    API anyway. Local inference deepens the agent advantage at scale and cuts the full-auto floor ~30% at connector size.</t>
  </si>
  <si>
    <t xml:space="preserve">  - Non-cost drivers can justify local BELOW the break-even: data residency / sovereignty (VA, Tata), keeping operational</t>
  </si>
  <si>
    <t xml:space="preserve">    telemetry off a third-party API (fintech, healthcare), and lower round-trip latency for the control loop.</t>
  </si>
  <si>
    <t xml:space="preserve">  - Spare-CPU edge case: trivial health checks can run on idle node cores at ~zero marginal cost, but CPU inference is too</t>
  </si>
  <si>
    <t xml:space="preserve">    slow for capable models at volume, and RSpace/consensus contends for those cores. GPUs are the answer at scale.</t>
  </si>
  <si>
    <t xml:space="preserve">Algorithmic Control vs LLM — the missing regime</t>
  </si>
  <si>
    <t xml:space="preserve">Most shard-tree decisions are deterministic (split at alpha*, demote on empty fund, provision on capacity). The LLM is the EXCEPTION tier, not the control plane.</t>
  </si>
  <si>
    <t xml:space="preserve">TIER 0 — ALGORITHMIC CONTROL PLANE (no model)</t>
  </si>
  <si>
    <t xml:space="preserve">Control-plane eng + tooling ($/mo)</t>
  </si>
  <si>
    <t xml:space="preserve">build/maintain operators, reconcilers, threshold policies; overlaps the agent platform</t>
  </si>
  <si>
    <t xml:space="preserve">Shards / SRE, algorithmic + human escalation</t>
  </si>
  <si>
    <t xml:space="preserve">plane removes toil; humans still field EVERY ambiguous + physical case</t>
  </si>
  <si>
    <t xml:space="preserve">Per-shard control-loop cost ($/shard-mo)</t>
  </si>
  <si>
    <t xml:space="preserve">CPU cycles on existing nodes; negligible vs inference</t>
  </si>
  <si>
    <t xml:space="preserve">TIER 1 — LLM ESCALATION (priced on the RESIDUAL only)</t>
  </si>
  <si>
    <t xml:space="preserve">Deterministic fraction delta (rules handle)</t>
  </si>
  <si>
    <t xml:space="preserve">split/demote/provision/threshold-health are rule-based</t>
  </si>
  <si>
    <t xml:space="preserve">LLM inference if it handled ALL decisions ($/shard)</t>
  </si>
  <si>
    <t xml:space="preserve">routine+hard from Agent Cost (provisioning is deterministic, dropped)</t>
  </si>
  <si>
    <t xml:space="preserve">LLM inference on residual a_resid ($/shard)</t>
  </si>
  <si>
    <t xml:space="preserve">(1-delta) x all-decision inference</t>
  </si>
  <si>
    <t xml:space="preserve">LLM-specific platform on top of Tier 0 ($/mo)</t>
  </si>
  <si>
    <t xml:space="preserve">evals, guardrails, model-ops; the algo plane's actuators are shared</t>
  </si>
  <si>
    <t xml:space="preserve">Shards / SRE, three-tier (algo+LLM+human)</t>
  </si>
  <si>
    <t xml:space="preserve">LLM absorbs ambiguous-but-software-resolvable cases -&gt; ~2x human reach vs Tier-0-only</t>
  </si>
  <si>
    <t xml:space="preserve">DECISION ROUTING (per shard-month)</t>
  </si>
  <si>
    <t xml:space="preserve">Total decisions / shard-mo</t>
  </si>
  <si>
    <t xml:space="preserve">routine checks + hard + provisioning</t>
  </si>
  <si>
    <t xml:space="preserve">  handled deterministically (free)</t>
  </si>
  <si>
    <t xml:space="preserve">  escalated beyond the rules</t>
  </si>
  <si>
    <t xml:space="preserve">DevOps
(no auto)</t>
  </si>
  <si>
    <t xml:space="preserve">Algo full-auto
(floor)</t>
  </si>
  <si>
    <t xml:space="preserve">Algo + human
(no LLM)</t>
  </si>
  <si>
    <t xml:space="preserve">Three-tier
(algo+LLM+human)</t>
  </si>
  <si>
    <t xml:space="preserve">LLM full-auto
(ref, all-LLM)</t>
  </si>
  <si>
    <t xml:space="preserve">3-tier vs
Algo+human</t>
  </si>
  <si>
    <t xml:space="preserve">VERDICT</t>
  </si>
  <si>
    <t xml:space="preserve">Algorithmic full-auto floor (flat, any S)</t>
  </si>
  <si>
    <t xml:space="preserve">Three-tier overtakes Algo+human above ~ (shards)</t>
  </si>
  <si>
    <t xml:space="preserve">LLM residual inference vs all-LLM inference</t>
  </si>
  <si>
    <t xml:space="preserve">What this tab adds (and the rest of the model lacked):</t>
  </si>
  <si>
    <t xml:space="preserve">  - A PURE ALGORITHMIC regime. Most shard-tree decisions are deterministic: split when alpha&gt;alpha*, demote when the</t>
  </si>
  <si>
    <t xml:space="preserve">    rent fund empties, provision when capacity is hit, remediate when a health metric leaves its band. These are threshold</t>
  </si>
  <si>
    <t xml:space="preserve">    tests and B-tree range handoffs (per the rent note's R1-R5 rules) -- a control plane, not a chat model.</t>
  </si>
  <si>
    <t xml:space="preserve">  - Its cost: a fixed control-plane engineering charge and ~ZERO marginal per shard. The algorithmic full-auto FLOOR is</t>
  </si>
  <si>
    <t xml:space="preserve">    flat at ~$27k/mo for ANY tree size -- the true automation floor, below every LLM regime, because it buys no inference.</t>
  </si>
  <si>
    <t xml:space="preserve">  - The CORRECT role of the LLM: an escalation tier ABOVE the algo plane, priced on the residual (~5%) of decisions the</t>
  </si>
  <si>
    <t xml:space="preserve">    rules don't cover -- not on all 726 decisions/shard-mo. That cuts modelled LLM inference ~20x (a_resid ~ $0.20/shard).</t>
  </si>
  <si>
    <t xml:space="preserve">  - So the earlier 'Full-Auto / Hybrid' regimes OVER-priced the LLM by treating it as the control plane. Re-decomposed:</t>
  </si>
  <si>
    <t xml:space="preserve">      * Algo + human (no LLM) is cheapest at small/mid scale: when one SRE already covers escalations, the LLM platform</t>
  </si>
  <si>
    <t xml:space="preserve">        ($8k) + inference isn't worth it.</t>
  </si>
  <si>
    <t xml:space="preserve">      * Three-tier (algo + LLM + thin human) wins at large scale: the LLM ~doubles human reach (sigma 150 -&gt; 300), and at</t>
  </si>
  <si>
    <t xml:space="preserve">        scale that saves MULTIPLE SREs ($20k each) for a few thousand dollars of platform+inference. Human cost dominates.</t>
  </si>
  <si>
    <t xml:space="preserve">      * The LLM earns its place exactly in the band of decisions that are too ambiguous for rules but NOT physical.</t>
  </si>
  <si>
    <t xml:space="preserve">  - None of this moves the agent-vs-DevOps crossover (~60 shards): automation still beats pure humans there. It lowers the</t>
  </si>
  <si>
    <t xml:space="preserve">    automation FLOOR and clarifies that the cheapest automation is mostly rules, with a thin model layer on top.</t>
  </si>
  <si>
    <t xml:space="preserve">  - Swing assumptions (flagged): delta (how much is truly deterministic) and sigma_a vs sigma_3 (how much human escalation</t>
  </si>
  <si>
    <t xml:space="preserve">    the LLM removes). Both are levers above.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</si>
</sst>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\$#,##0.0000"/>
    <numFmt numFmtId="166" formatCode="0.0%"/>
    <numFmt numFmtId="167" formatCode="#,##0"/>
    <numFmt numFmtId="168" formatCode="\$#,##0.00"/>
    <numFmt numFmtId="169" formatCode="\$#,##0.000000"/>
    <numFmt numFmtId="170" formatCode="0.0\x"/>
    <numFmt numFmtId="171" formatCode="\$#,##0"/>
    <numFmt numFmtId="172" formatCode="0.00%"/>
    <numFmt numFmtId="173" formatCode="#,##0.0"/>
    <numFmt numFmtId="174" formatCode="#,##0.000"/>
    <numFmt numFmtId="175" formatCode="\$#,##0;&quot;($&quot;#,##0\);\-"/>
    <numFmt numFmtId="176" formatCode="0.00\x"/>
    <numFmt numFmtId="177" formatCode="0.00"/>
    <numFmt numFmtId="178" formatCode="\$#,##0.00;&quot;($&quot;#,##0.00\);\-"/>
    <numFmt numFmtId="179" formatCode="0.0%;\(0.0%\);\-"/>
    <numFmt numFmtId="180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6B6B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D7263D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9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6B6B6B"/>
      <name val="Arial"/>
      <family val="0"/>
      <charset val="1"/>
    </font>
    <font>
      <sz val="9"/>
      <color rgb="FFD7263D"/>
      <name val="Arial"/>
      <family val="0"/>
      <charset val="1"/>
    </font>
    <font>
      <i val="true"/>
      <sz val="9"/>
      <color rgb="FF6B6B6B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7263D"/>
        <bgColor rgb="FF993366"/>
      </patternFill>
    </fill>
    <fill>
      <patternFill patternType="solid">
        <fgColor rgb="FFF7E3D7"/>
        <bgColor rgb="FFFBE9EC"/>
      </patternFill>
    </fill>
    <fill>
      <patternFill patternType="solid">
        <fgColor rgb="FFFFF6C8"/>
        <bgColor rgb="FFFFF6E5"/>
      </patternFill>
    </fill>
    <fill>
      <patternFill patternType="solid">
        <fgColor rgb="FF161616"/>
        <bgColor rgb="FF000000"/>
      </patternFill>
    </fill>
    <fill>
      <patternFill patternType="solid">
        <fgColor rgb="FFFFF6E5"/>
        <bgColor rgb="FFF2F2F2"/>
      </patternFill>
    </fill>
    <fill>
      <patternFill patternType="solid">
        <fgColor rgb="FFEAF5EC"/>
        <bgColor rgb="FFF2F2F2"/>
      </patternFill>
    </fill>
    <fill>
      <patternFill patternType="solid">
        <fgColor rgb="FFFBE9EC"/>
        <bgColor rgb="FFF7E3D7"/>
      </patternFill>
    </fill>
    <fill>
      <patternFill patternType="solid">
        <fgColor rgb="FFF2F2F2"/>
        <bgColor rgb="FFEAF5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ill>
        <patternFill>
          <bgColor rgb="FFFBE9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D7263D"/>
      <rgbColor rgb="FFFFF6C8"/>
      <rgbColor rgb="FFEAF5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6E5"/>
      <rgbColor rgb="FFFBE9EC"/>
      <rgbColor rgb="FFFF99CC"/>
      <rgbColor rgb="FFCC99FF"/>
      <rgbColor rgb="FFF7E3D7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161616"/>
      <rgbColor rgb="FF0061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management cost of the shard tree vs tree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'Mgmt Crossover'!C5</c:f>
              <c:strCache>
                <c:ptCount val="1"/>
                <c:pt idx="0">
                  <c:v>DevOps
$/mo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'Mgmt Crossover'!$A$6:$A$22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60</c:v>
                </c:pt>
                <c:pt idx="7">
                  <c:v>90</c:v>
                </c:pt>
                <c:pt idx="8">
                  <c:v>100</c:v>
                </c:pt>
                <c:pt idx="9">
                  <c:v>250</c:v>
                </c:pt>
                <c:pt idx="10">
                  <c:v>334</c:v>
                </c:pt>
                <c:pt idx="11">
                  <c:v>500</c:v>
                </c:pt>
                <c:pt idx="12">
                  <c:v>1,000</c:v>
                </c:pt>
                <c:pt idx="13">
                  <c:v>2,500</c:v>
                </c:pt>
                <c:pt idx="14">
                  <c:v>5,000</c:v>
                </c:pt>
                <c:pt idx="15">
                  <c:v>10,000</c:v>
                </c:pt>
                <c:pt idx="16">
                  <c:v>12,074</c:v>
                </c:pt>
              </c:strCache>
            </c:strRef>
          </c:cat>
          <c:val>
            <c:numRef>
              <c:f>'Mgmt Crossover'!$C$6:$C$22</c:f>
              <c:numCache>
                <c:formatCode>\$#,##0;"($"#,##0\);\-</c:formatCode>
                <c:ptCount val="17"/>
                <c:pt idx="0">
                  <c:v>40000</c:v>
                </c:pt>
                <c:pt idx="1">
                  <c:v>40000</c:v>
                </c:pt>
                <c:pt idx="2">
                  <c:v>40000</c:v>
                </c:pt>
                <c:pt idx="3">
                  <c:v>40000</c:v>
                </c:pt>
                <c:pt idx="4">
                  <c:v>40000</c:v>
                </c:pt>
                <c:pt idx="5">
                  <c:v>40000</c:v>
                </c:pt>
                <c:pt idx="6">
                  <c:v>40000</c:v>
                </c:pt>
                <c:pt idx="7">
                  <c:v>60000</c:v>
                </c:pt>
                <c:pt idx="8">
                  <c:v>80000</c:v>
                </c:pt>
                <c:pt idx="9">
                  <c:v>180000</c:v>
                </c:pt>
                <c:pt idx="10">
                  <c:v>240000</c:v>
                </c:pt>
                <c:pt idx="11">
                  <c:v>340000</c:v>
                </c:pt>
                <c:pt idx="12">
                  <c:v>680000</c:v>
                </c:pt>
                <c:pt idx="13">
                  <c:v>1680000</c:v>
                </c:pt>
                <c:pt idx="14">
                  <c:v>3340000</c:v>
                </c:pt>
                <c:pt idx="15">
                  <c:v>6680000</c:v>
                </c:pt>
                <c:pt idx="16">
                  <c:v>8060000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'Mgmt Crossover'!D5</c:f>
              <c:strCache>
                <c:ptCount val="1"/>
                <c:pt idx="0">
                  <c:v>Full-Auto
$/mo (floor)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'Mgmt Crossover'!$A$6:$A$22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60</c:v>
                </c:pt>
                <c:pt idx="7">
                  <c:v>90</c:v>
                </c:pt>
                <c:pt idx="8">
                  <c:v>100</c:v>
                </c:pt>
                <c:pt idx="9">
                  <c:v>250</c:v>
                </c:pt>
                <c:pt idx="10">
                  <c:v>334</c:v>
                </c:pt>
                <c:pt idx="11">
                  <c:v>500</c:v>
                </c:pt>
                <c:pt idx="12">
                  <c:v>1,000</c:v>
                </c:pt>
                <c:pt idx="13">
                  <c:v>2,500</c:v>
                </c:pt>
                <c:pt idx="14">
                  <c:v>5,000</c:v>
                </c:pt>
                <c:pt idx="15">
                  <c:v>10,000</c:v>
                </c:pt>
                <c:pt idx="16">
                  <c:v>12,074</c:v>
                </c:pt>
              </c:strCache>
            </c:strRef>
          </c:cat>
          <c:val>
            <c:numRef>
              <c:f>'Mgmt Crossover'!$D$6:$D$22</c:f>
              <c:numCache>
                <c:formatCode>\$#,##0;"($"#,##0\);\-</c:formatCode>
                <c:ptCount val="17"/>
                <c:pt idx="0">
                  <c:v>30004.1664</c:v>
                </c:pt>
                <c:pt idx="1">
                  <c:v>30008.3328</c:v>
                </c:pt>
                <c:pt idx="2">
                  <c:v>30020.832</c:v>
                </c:pt>
                <c:pt idx="3">
                  <c:v>30041.664</c:v>
                </c:pt>
                <c:pt idx="4">
                  <c:v>30104.16</c:v>
                </c:pt>
                <c:pt idx="5">
                  <c:v>30208.32</c:v>
                </c:pt>
                <c:pt idx="6">
                  <c:v>30249.984</c:v>
                </c:pt>
                <c:pt idx="7">
                  <c:v>30374.976</c:v>
                </c:pt>
                <c:pt idx="8">
                  <c:v>30416.64</c:v>
                </c:pt>
                <c:pt idx="9">
                  <c:v>31041.6</c:v>
                </c:pt>
                <c:pt idx="10">
                  <c:v>31391.5776</c:v>
                </c:pt>
                <c:pt idx="11">
                  <c:v>32083.2</c:v>
                </c:pt>
                <c:pt idx="12">
                  <c:v>34166.4</c:v>
                </c:pt>
                <c:pt idx="13">
                  <c:v>40416</c:v>
                </c:pt>
                <c:pt idx="14">
                  <c:v>50832</c:v>
                </c:pt>
                <c:pt idx="15">
                  <c:v>71664</c:v>
                </c:pt>
                <c:pt idx="16">
                  <c:v>80305.1136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'Mgmt Crossover'!F5</c:f>
              <c:strCache>
                <c:ptCount val="1"/>
                <c:pt idx="0">
                  <c:v>Hybrid
$/mo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'Mgmt Crossover'!$A$6:$A$22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60</c:v>
                </c:pt>
                <c:pt idx="7">
                  <c:v>90</c:v>
                </c:pt>
                <c:pt idx="8">
                  <c:v>100</c:v>
                </c:pt>
                <c:pt idx="9">
                  <c:v>250</c:v>
                </c:pt>
                <c:pt idx="10">
                  <c:v>334</c:v>
                </c:pt>
                <c:pt idx="11">
                  <c:v>500</c:v>
                </c:pt>
                <c:pt idx="12">
                  <c:v>1,000</c:v>
                </c:pt>
                <c:pt idx="13">
                  <c:v>2,500</c:v>
                </c:pt>
                <c:pt idx="14">
                  <c:v>5,000</c:v>
                </c:pt>
                <c:pt idx="15">
                  <c:v>10,000</c:v>
                </c:pt>
                <c:pt idx="16">
                  <c:v>12,074</c:v>
                </c:pt>
              </c:strCache>
            </c:strRef>
          </c:cat>
          <c:val>
            <c:numRef>
              <c:f>'Mgmt Crossover'!$F$6:$F$22</c:f>
              <c:numCache>
                <c:formatCode>\$#,##0;"($"#,##0\);\-</c:formatCode>
                <c:ptCount val="17"/>
                <c:pt idx="0">
                  <c:v>48004.1664</c:v>
                </c:pt>
                <c:pt idx="1">
                  <c:v>48008.3328</c:v>
                </c:pt>
                <c:pt idx="2">
                  <c:v>48020.832</c:v>
                </c:pt>
                <c:pt idx="3">
                  <c:v>48041.664</c:v>
                </c:pt>
                <c:pt idx="4">
                  <c:v>48104.16</c:v>
                </c:pt>
                <c:pt idx="5">
                  <c:v>48208.32</c:v>
                </c:pt>
                <c:pt idx="6">
                  <c:v>48249.984</c:v>
                </c:pt>
                <c:pt idx="7">
                  <c:v>48374.976</c:v>
                </c:pt>
                <c:pt idx="8">
                  <c:v>48416.64</c:v>
                </c:pt>
                <c:pt idx="9">
                  <c:v>49041.6</c:v>
                </c:pt>
                <c:pt idx="10">
                  <c:v>69391.5776</c:v>
                </c:pt>
                <c:pt idx="11">
                  <c:v>70083.2</c:v>
                </c:pt>
                <c:pt idx="12">
                  <c:v>112166.4</c:v>
                </c:pt>
                <c:pt idx="13">
                  <c:v>218416</c:v>
                </c:pt>
                <c:pt idx="14">
                  <c:v>388832</c:v>
                </c:pt>
                <c:pt idx="15">
                  <c:v>749664</c:v>
                </c:pt>
                <c:pt idx="16">
                  <c:v>898305.1136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021053"/>
        <c:axId val="27862875"/>
      </c:lineChart>
      <c:catAx>
        <c:axId val="5202105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Shards in tree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62875"/>
        <c:crosses val="autoZero"/>
        <c:auto val="1"/>
        <c:lblAlgn val="ctr"/>
        <c:lblOffset val="100"/>
        <c:noMultiLvlLbl val="0"/>
      </c:catAx>
      <c:valAx>
        <c:axId val="27862875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Mgmt cost ($/mo)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210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Routine inference cost per shard: API (variable) vs self-hosted GPU (fixed/step)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'Local Inference'!F18</c:f>
              <c:strCache>
                <c:ptCount val="1"/>
                <c:pt idx="0">
                  <c:v>Local
$/shard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'Local Inference'!$A$19:$A$34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250</c:v>
                </c:pt>
                <c:pt idx="8">
                  <c:v>334</c:v>
                </c:pt>
                <c:pt idx="9">
                  <c:v>420</c:v>
                </c:pt>
                <c:pt idx="10">
                  <c:v>500</c:v>
                </c:pt>
                <c:pt idx="11">
                  <c:v>1,000</c:v>
                </c:pt>
                <c:pt idx="12">
                  <c:v>2,500</c:v>
                </c:pt>
                <c:pt idx="13">
                  <c:v>5,000</c:v>
                </c:pt>
                <c:pt idx="14">
                  <c:v>10,000</c:v>
                </c:pt>
                <c:pt idx="15">
                  <c:v>12,074</c:v>
                </c:pt>
              </c:strCache>
            </c:strRef>
          </c:cat>
          <c:val>
            <c:numRef>
              <c:f>'Local Inference'!$F$19:$F$34</c:f>
              <c:numCache>
                <c:formatCode>\$#,##0.00;"($"#,##0.00\);\-</c:formatCode>
                <c:ptCount val="16"/>
                <c:pt idx="0">
                  <c:v>1095</c:v>
                </c:pt>
                <c:pt idx="1">
                  <c:v>547.5</c:v>
                </c:pt>
                <c:pt idx="2">
                  <c:v>219</c:v>
                </c:pt>
                <c:pt idx="3">
                  <c:v>109.5</c:v>
                </c:pt>
                <c:pt idx="4">
                  <c:v>43.8</c:v>
                </c:pt>
                <c:pt idx="5">
                  <c:v>21.9</c:v>
                </c:pt>
                <c:pt idx="6">
                  <c:v>10.95</c:v>
                </c:pt>
                <c:pt idx="7">
                  <c:v>4.38</c:v>
                </c:pt>
                <c:pt idx="8">
                  <c:v>3.27844311377246</c:v>
                </c:pt>
                <c:pt idx="9">
                  <c:v>2.60714285714286</c:v>
                </c:pt>
                <c:pt idx="10">
                  <c:v>2.19</c:v>
                </c:pt>
                <c:pt idx="11">
                  <c:v>1.095</c:v>
                </c:pt>
                <c:pt idx="12">
                  <c:v>0.438</c:v>
                </c:pt>
                <c:pt idx="13">
                  <c:v>0.438</c:v>
                </c:pt>
                <c:pt idx="14">
                  <c:v>0.438</c:v>
                </c:pt>
                <c:pt idx="15">
                  <c:v>0.453453702169952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'Local Inference'!H18</c:f>
              <c:strCache>
                <c:ptCount val="1"/>
                <c:pt idx="0">
                  <c:v>API
$/shard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'Local Inference'!$A$19:$A$34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250</c:v>
                </c:pt>
                <c:pt idx="8">
                  <c:v>334</c:v>
                </c:pt>
                <c:pt idx="9">
                  <c:v>420</c:v>
                </c:pt>
                <c:pt idx="10">
                  <c:v>500</c:v>
                </c:pt>
                <c:pt idx="11">
                  <c:v>1,000</c:v>
                </c:pt>
                <c:pt idx="12">
                  <c:v>2,500</c:v>
                </c:pt>
                <c:pt idx="13">
                  <c:v>5,000</c:v>
                </c:pt>
                <c:pt idx="14">
                  <c:v>10,000</c:v>
                </c:pt>
                <c:pt idx="15">
                  <c:v>12,074</c:v>
                </c:pt>
              </c:strCache>
            </c:strRef>
          </c:cat>
          <c:val>
            <c:numRef>
              <c:f>'Local Inference'!$H$19:$H$34</c:f>
              <c:numCache>
                <c:formatCode>\$#,##0.00;"($"#,##0.00\);\-</c:formatCode>
                <c:ptCount val="16"/>
                <c:pt idx="0">
                  <c:v>2.6064</c:v>
                </c:pt>
                <c:pt idx="1">
                  <c:v>2.6064</c:v>
                </c:pt>
                <c:pt idx="2">
                  <c:v>2.6064</c:v>
                </c:pt>
                <c:pt idx="3">
                  <c:v>2.6064</c:v>
                </c:pt>
                <c:pt idx="4">
                  <c:v>2.6064</c:v>
                </c:pt>
                <c:pt idx="5">
                  <c:v>2.6064</c:v>
                </c:pt>
                <c:pt idx="6">
                  <c:v>2.6064</c:v>
                </c:pt>
                <c:pt idx="7">
                  <c:v>2.6064</c:v>
                </c:pt>
                <c:pt idx="8">
                  <c:v>2.6064</c:v>
                </c:pt>
                <c:pt idx="9">
                  <c:v>2.6064</c:v>
                </c:pt>
                <c:pt idx="10">
                  <c:v>2.6064</c:v>
                </c:pt>
                <c:pt idx="11">
                  <c:v>2.6064</c:v>
                </c:pt>
                <c:pt idx="12">
                  <c:v>2.6064</c:v>
                </c:pt>
                <c:pt idx="13">
                  <c:v>2.6064</c:v>
                </c:pt>
                <c:pt idx="14">
                  <c:v>2.6064</c:v>
                </c:pt>
                <c:pt idx="15">
                  <c:v>2.6064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289818"/>
        <c:axId val="33981404"/>
      </c:lineChart>
      <c:catAx>
        <c:axId val="3228981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Shards in tree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81404"/>
        <c:crosses val="autoZero"/>
        <c:auto val="1"/>
        <c:lblAlgn val="ctr"/>
        <c:lblOffset val="100"/>
        <c:noMultiLvlLbl val="0"/>
      </c:catAx>
      <c:valAx>
        <c:axId val="339814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$/shard-month (routine)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89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Management cost: DevOps vs Algorithmic vs Three-tier (deployable regimes)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'Algorithmic vs LLM'!B21</c:f>
              <c:strCache>
                <c:ptCount val="1"/>
                <c:pt idx="0">
                  <c:v>DevOps
(no auto)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'Algorithmic vs LLM'!$A$22:$A$32</c:f>
              <c:strCache>
                <c:ptCount val="11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250</c:v>
                </c:pt>
                <c:pt idx="6">
                  <c:v>500</c:v>
                </c:pt>
                <c:pt idx="7">
                  <c:v>1,000</c:v>
                </c:pt>
                <c:pt idx="8">
                  <c:v>2,500</c:v>
                </c:pt>
                <c:pt idx="9">
                  <c:v>5,000</c:v>
                </c:pt>
                <c:pt idx="10">
                  <c:v>12,074</c:v>
                </c:pt>
              </c:strCache>
            </c:strRef>
          </c:cat>
          <c:val>
            <c:numRef>
              <c:f>'Algorithmic vs LLM'!$B$22:$B$32</c:f>
              <c:numCache>
                <c:formatCode>\$#,##0;"($"#,##0\);\-</c:formatCode>
                <c:ptCount val="11"/>
                <c:pt idx="0">
                  <c:v>40000</c:v>
                </c:pt>
                <c:pt idx="1">
                  <c:v>40000</c:v>
                </c:pt>
                <c:pt idx="2">
                  <c:v>40000</c:v>
                </c:pt>
                <c:pt idx="3">
                  <c:v>80000</c:v>
                </c:pt>
                <c:pt idx="4">
                  <c:v>100000</c:v>
                </c:pt>
                <c:pt idx="5">
                  <c:v>180000</c:v>
                </c:pt>
                <c:pt idx="6">
                  <c:v>340000</c:v>
                </c:pt>
                <c:pt idx="7">
                  <c:v>680000</c:v>
                </c:pt>
                <c:pt idx="8">
                  <c:v>1680000</c:v>
                </c:pt>
                <c:pt idx="9">
                  <c:v>3340000</c:v>
                </c:pt>
                <c:pt idx="10">
                  <c:v>8060000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'Algorithmic vs LLM'!D21</c:f>
              <c:strCache>
                <c:ptCount val="1"/>
                <c:pt idx="0">
                  <c:v>Algo + human
(no LLM)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'Algorithmic vs LLM'!$A$22:$A$32</c:f>
              <c:strCache>
                <c:ptCount val="11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250</c:v>
                </c:pt>
                <c:pt idx="6">
                  <c:v>500</c:v>
                </c:pt>
                <c:pt idx="7">
                  <c:v>1,000</c:v>
                </c:pt>
                <c:pt idx="8">
                  <c:v>2,500</c:v>
                </c:pt>
                <c:pt idx="9">
                  <c:v>5,000</c:v>
                </c:pt>
                <c:pt idx="10">
                  <c:v>12,074</c:v>
                </c:pt>
              </c:strCache>
            </c:strRef>
          </c:cat>
          <c:val>
            <c:numRef>
              <c:f>'Algorithmic vs LLM'!$D$22:$D$32</c:f>
              <c:numCache>
                <c:formatCode>\$#,##0;"($"#,##0\);\-</c:formatCode>
                <c:ptCount val="11"/>
                <c:pt idx="0">
                  <c:v>45000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45000</c:v>
                </c:pt>
                <c:pt idx="5">
                  <c:v>65000</c:v>
                </c:pt>
                <c:pt idx="6">
                  <c:v>105000</c:v>
                </c:pt>
                <c:pt idx="7">
                  <c:v>165000</c:v>
                </c:pt>
                <c:pt idx="8">
                  <c:v>365000</c:v>
                </c:pt>
                <c:pt idx="9">
                  <c:v>705000</c:v>
                </c:pt>
                <c:pt idx="10">
                  <c:v>1645000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'Algorithmic vs LLM'!E21</c:f>
              <c:strCache>
                <c:ptCount val="1"/>
                <c:pt idx="0">
                  <c:v>Three-tier
(algo+LLM+human)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'Algorithmic vs LLM'!$A$22:$A$32</c:f>
              <c:strCache>
                <c:ptCount val="11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250</c:v>
                </c:pt>
                <c:pt idx="6">
                  <c:v>500</c:v>
                </c:pt>
                <c:pt idx="7">
                  <c:v>1,000</c:v>
                </c:pt>
                <c:pt idx="8">
                  <c:v>2,500</c:v>
                </c:pt>
                <c:pt idx="9">
                  <c:v>5,000</c:v>
                </c:pt>
                <c:pt idx="10">
                  <c:v>12,074</c:v>
                </c:pt>
              </c:strCache>
            </c:strRef>
          </c:cat>
          <c:val>
            <c:numRef>
              <c:f>'Algorithmic vs LLM'!$E$22:$E$32</c:f>
              <c:numCache>
                <c:formatCode>\$#,##0;"($"#,##0\);\-</c:formatCode>
                <c:ptCount val="11"/>
                <c:pt idx="0">
                  <c:v>53000.20007</c:v>
                </c:pt>
                <c:pt idx="1">
                  <c:v>53002.0007</c:v>
                </c:pt>
                <c:pt idx="2">
                  <c:v>53010.0035</c:v>
                </c:pt>
                <c:pt idx="3">
                  <c:v>53020.007</c:v>
                </c:pt>
                <c:pt idx="4">
                  <c:v>53030.0105</c:v>
                </c:pt>
                <c:pt idx="5">
                  <c:v>53050.0175</c:v>
                </c:pt>
                <c:pt idx="6">
                  <c:v>73100.035</c:v>
                </c:pt>
                <c:pt idx="7">
                  <c:v>113200.07</c:v>
                </c:pt>
                <c:pt idx="8">
                  <c:v>213500.175</c:v>
                </c:pt>
                <c:pt idx="9">
                  <c:v>374000.35</c:v>
                </c:pt>
                <c:pt idx="10">
                  <c:v>855415.64518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862916"/>
        <c:axId val="2766546"/>
      </c:lineChart>
      <c:catAx>
        <c:axId val="8486291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Shards in tree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6546"/>
        <c:crosses val="autoZero"/>
        <c:auto val="1"/>
        <c:lblAlgn val="ctr"/>
        <c:lblOffset val="100"/>
        <c:noMultiLvlLbl val="0"/>
      </c:catAx>
      <c:valAx>
        <c:axId val="2766546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Mgmt cost ($/mo)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629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38</xdr:row>
      <xdr:rowOff>0</xdr:rowOff>
    </xdr:from>
    <xdr:to>
      <xdr:col>9</xdr:col>
      <xdr:colOff>78480</xdr:colOff>
      <xdr:row>56</xdr:row>
      <xdr:rowOff>168480</xdr:rowOff>
    </xdr:to>
    <xdr:graphicFrame>
      <xdr:nvGraphicFramePr>
        <xdr:cNvPr id="0" name="Chart 1"/>
        <xdr:cNvGraphicFramePr/>
      </xdr:nvGraphicFramePr>
      <xdr:xfrm>
        <a:off x="0" y="7515360"/>
        <a:ext cx="7197480" cy="359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61</xdr:row>
      <xdr:rowOff>0</xdr:rowOff>
    </xdr:from>
    <xdr:to>
      <xdr:col>3</xdr:col>
      <xdr:colOff>2123640</xdr:colOff>
      <xdr:row>77</xdr:row>
      <xdr:rowOff>190440</xdr:rowOff>
    </xdr:to>
    <xdr:graphicFrame>
      <xdr:nvGraphicFramePr>
        <xdr:cNvPr id="1" name="Chart 1"/>
        <xdr:cNvGraphicFramePr/>
      </xdr:nvGraphicFramePr>
      <xdr:xfrm>
        <a:off x="0" y="11868120"/>
        <a:ext cx="719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58</xdr:row>
      <xdr:rowOff>0</xdr:rowOff>
    </xdr:from>
    <xdr:to>
      <xdr:col>3</xdr:col>
      <xdr:colOff>1842480</xdr:colOff>
      <xdr:row>75</xdr:row>
      <xdr:rowOff>720</xdr:rowOff>
    </xdr:to>
    <xdr:graphicFrame>
      <xdr:nvGraphicFramePr>
        <xdr:cNvPr id="2" name="Chart 1"/>
        <xdr:cNvGraphicFramePr/>
      </xdr:nvGraphicFramePr>
      <xdr:xfrm>
        <a:off x="0" y="113252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7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22"/>
  </cols>
  <sheetData>
    <row r="1" customFormat="false" ht="24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true" outlineLevel="0" collapsed="false">
      <c r="A3" s="4" t="s">
        <v>2</v>
      </c>
      <c r="B3" s="5" t="s">
        <v>3</v>
      </c>
      <c r="C3" s="6" t="s">
        <v>4</v>
      </c>
      <c r="D3" s="7" t="s">
        <v>5</v>
      </c>
    </row>
    <row r="5" customFormat="false" ht="15" hidden="false" customHeight="true" outlineLevel="0" collapsed="false">
      <c r="A5" s="8" t="s">
        <v>6</v>
      </c>
      <c r="B5" s="8"/>
      <c r="C5" s="8"/>
      <c r="D5" s="8"/>
    </row>
    <row r="6" customFormat="false" ht="15" hidden="false" customHeight="true" outlineLevel="0" collapsed="false">
      <c r="A6" s="9" t="s">
        <v>7</v>
      </c>
      <c r="B6" s="10" t="n">
        <v>10</v>
      </c>
      <c r="C6" s="11" t="s">
        <v>8</v>
      </c>
    </row>
    <row r="7" customFormat="false" ht="15" hidden="false" customHeight="true" outlineLevel="0" collapsed="false">
      <c r="A7" s="9" t="s">
        <v>9</v>
      </c>
      <c r="B7" s="10" t="n">
        <v>16</v>
      </c>
      <c r="C7" s="11" t="s">
        <v>10</v>
      </c>
    </row>
    <row r="8" customFormat="false" ht="15" hidden="false" customHeight="true" outlineLevel="0" collapsed="false">
      <c r="A8" s="9" t="s">
        <v>11</v>
      </c>
      <c r="B8" s="10" t="n">
        <v>16</v>
      </c>
      <c r="C8" s="11" t="s">
        <v>12</v>
      </c>
    </row>
    <row r="9" customFormat="false" ht="15" hidden="false" customHeight="true" outlineLevel="0" collapsed="false">
      <c r="A9" s="9" t="s">
        <v>13</v>
      </c>
      <c r="B9" s="10" t="n">
        <v>2</v>
      </c>
      <c r="C9" s="11" t="s">
        <v>14</v>
      </c>
    </row>
    <row r="10" customFormat="false" ht="15" hidden="false" customHeight="true" outlineLevel="0" collapsed="false">
      <c r="A10" s="9" t="s">
        <v>15</v>
      </c>
      <c r="B10" s="10" t="n">
        <v>730</v>
      </c>
      <c r="C10" s="11" t="s">
        <v>16</v>
      </c>
    </row>
    <row r="11" customFormat="false" ht="15" hidden="false" customHeight="true" outlineLevel="0" collapsed="false">
      <c r="A11" s="9" t="s">
        <v>17</v>
      </c>
      <c r="B11" s="12" t="n">
        <v>0.025</v>
      </c>
      <c r="C11" s="11" t="s">
        <v>18</v>
      </c>
    </row>
    <row r="12" customFormat="false" ht="15" hidden="false" customHeight="true" outlineLevel="0" collapsed="false">
      <c r="A12" s="9" t="s">
        <v>19</v>
      </c>
      <c r="B12" s="12" t="n">
        <v>0.0015</v>
      </c>
      <c r="C12" s="11" t="s">
        <v>20</v>
      </c>
    </row>
    <row r="13" customFormat="false" ht="15" hidden="false" customHeight="true" outlineLevel="0" collapsed="false">
      <c r="A13" s="9" t="s">
        <v>21</v>
      </c>
      <c r="B13" s="12" t="n">
        <v>0.0255</v>
      </c>
      <c r="C13" s="11" t="s">
        <v>22</v>
      </c>
    </row>
    <row r="14" customFormat="false" ht="15" hidden="false" customHeight="true" outlineLevel="0" collapsed="false">
      <c r="A14" s="9" t="s">
        <v>23</v>
      </c>
      <c r="B14" s="13" t="n">
        <v>0.15</v>
      </c>
      <c r="C14" s="11" t="s">
        <v>24</v>
      </c>
    </row>
    <row r="15" customFormat="false" ht="15" hidden="false" customHeight="true" outlineLevel="0" collapsed="false">
      <c r="A15" s="9" t="s">
        <v>25</v>
      </c>
      <c r="B15" s="10" t="n">
        <v>1</v>
      </c>
      <c r="C15" s="11" t="s">
        <v>26</v>
      </c>
    </row>
    <row r="16" customFormat="false" ht="15" hidden="false" customHeight="true" outlineLevel="0" collapsed="false">
      <c r="A16" s="9" t="s">
        <v>27</v>
      </c>
      <c r="B16" s="10" t="n">
        <v>5</v>
      </c>
      <c r="C16" s="11" t="s">
        <v>28</v>
      </c>
    </row>
    <row r="18" customFormat="false" ht="15" hidden="false" customHeight="true" outlineLevel="0" collapsed="false">
      <c r="A18" s="8" t="s">
        <v>29</v>
      </c>
      <c r="B18" s="8"/>
      <c r="C18" s="8"/>
      <c r="D18" s="8"/>
    </row>
    <row r="19" customFormat="false" ht="15" hidden="false" customHeight="true" outlineLevel="0" collapsed="false">
      <c r="A19" s="9" t="s">
        <v>30</v>
      </c>
      <c r="B19" s="14" t="n">
        <v>30000000</v>
      </c>
      <c r="C19" s="11" t="s">
        <v>31</v>
      </c>
    </row>
    <row r="20" customFormat="false" ht="15" hidden="false" customHeight="true" outlineLevel="0" collapsed="false">
      <c r="A20" s="9" t="s">
        <v>32</v>
      </c>
      <c r="B20" s="14" t="n">
        <v>20000000</v>
      </c>
      <c r="C20" s="11" t="s">
        <v>31</v>
      </c>
    </row>
    <row r="21" customFormat="false" ht="15" hidden="false" customHeight="true" outlineLevel="0" collapsed="false">
      <c r="A21" s="9" t="s">
        <v>33</v>
      </c>
      <c r="B21" s="15" t="n">
        <f aca="false">B6*B8*1000000000/(B15*1000)</f>
        <v>160000000</v>
      </c>
      <c r="C21" s="11" t="s">
        <v>34</v>
      </c>
    </row>
    <row r="23" customFormat="false" ht="15" hidden="false" customHeight="true" outlineLevel="0" collapsed="false">
      <c r="A23" s="8" t="s">
        <v>35</v>
      </c>
      <c r="B23" s="8"/>
      <c r="C23" s="8"/>
      <c r="D23" s="8"/>
    </row>
    <row r="24" customFormat="false" ht="15" hidden="false" customHeight="true" outlineLevel="0" collapsed="false">
      <c r="A24" s="9" t="s">
        <v>36</v>
      </c>
      <c r="B24" s="16" t="n">
        <v>3</v>
      </c>
      <c r="C24" s="11" t="s">
        <v>37</v>
      </c>
    </row>
    <row r="25" customFormat="false" ht="15" hidden="false" customHeight="true" outlineLevel="0" collapsed="false">
      <c r="A25" s="9" t="s">
        <v>38</v>
      </c>
      <c r="B25" s="17" t="n">
        <f aca="false">B24/1000</f>
        <v>0.003</v>
      </c>
      <c r="C25" s="11" t="s">
        <v>39</v>
      </c>
    </row>
    <row r="27" customFormat="false" ht="15" hidden="false" customHeight="true" outlineLevel="0" collapsed="false">
      <c r="A27" s="8" t="s">
        <v>40</v>
      </c>
      <c r="B27" s="8"/>
      <c r="C27" s="8"/>
      <c r="D27" s="8"/>
    </row>
    <row r="28" customFormat="false" ht="15" hidden="false" customHeight="true" outlineLevel="0" collapsed="false">
      <c r="A28" s="9" t="s">
        <v>41</v>
      </c>
      <c r="B28" s="12" t="n">
        <v>0.01</v>
      </c>
      <c r="C28" s="11" t="s">
        <v>42</v>
      </c>
    </row>
    <row r="29" customFormat="false" ht="15" hidden="false" customHeight="true" outlineLevel="0" collapsed="false">
      <c r="A29" s="9" t="s">
        <v>43</v>
      </c>
      <c r="B29" s="12" t="n">
        <v>0.25</v>
      </c>
      <c r="C29" s="11" t="s">
        <v>42</v>
      </c>
    </row>
    <row r="30" customFormat="false" ht="15" hidden="false" customHeight="true" outlineLevel="0" collapsed="false">
      <c r="A30" s="9" t="s">
        <v>44</v>
      </c>
      <c r="B30" s="18" t="n">
        <v>0.0003</v>
      </c>
      <c r="C30" s="11" t="s">
        <v>45</v>
      </c>
    </row>
    <row r="31" customFormat="false" ht="15" hidden="false" customHeight="true" outlineLevel="0" collapsed="false">
      <c r="A31" s="9" t="s">
        <v>46</v>
      </c>
      <c r="B31" s="16" t="n">
        <v>1</v>
      </c>
      <c r="C31" s="11" t="s">
        <v>47</v>
      </c>
    </row>
    <row r="32" customFormat="false" ht="15" hidden="false" customHeight="true" outlineLevel="0" collapsed="false">
      <c r="A32" s="9" t="s">
        <v>48</v>
      </c>
      <c r="B32" s="19" t="n">
        <v>50</v>
      </c>
      <c r="C32" s="11" t="s">
        <v>49</v>
      </c>
    </row>
    <row r="33" customFormat="false" ht="15" hidden="false" customHeight="true" outlineLevel="0" collapsed="false">
      <c r="A33" s="9" t="s">
        <v>50</v>
      </c>
      <c r="B33" s="17" t="n">
        <f aca="false">B31/B32</f>
        <v>0.02</v>
      </c>
      <c r="C33" s="11" t="s">
        <v>42</v>
      </c>
    </row>
    <row r="35" customFormat="false" ht="15" hidden="false" customHeight="true" outlineLevel="0" collapsed="false">
      <c r="A35" s="8" t="s">
        <v>51</v>
      </c>
      <c r="B35" s="8"/>
      <c r="C35" s="8"/>
      <c r="D35" s="8"/>
    </row>
    <row r="36" customFormat="false" ht="15" hidden="false" customHeight="true" outlineLevel="0" collapsed="false">
      <c r="A36" s="9" t="s">
        <v>41</v>
      </c>
      <c r="B36" s="20" t="n">
        <v>1.2</v>
      </c>
      <c r="C36" s="11" t="s">
        <v>52</v>
      </c>
    </row>
    <row r="37" customFormat="false" ht="15" hidden="false" customHeight="true" outlineLevel="0" collapsed="false">
      <c r="A37" s="9" t="s">
        <v>44</v>
      </c>
      <c r="B37" s="20" t="n">
        <v>1</v>
      </c>
      <c r="C37" s="11" t="s">
        <v>52</v>
      </c>
    </row>
    <row r="38" customFormat="false" ht="15" hidden="false" customHeight="true" outlineLevel="0" collapsed="false">
      <c r="A38" s="9" t="s">
        <v>53</v>
      </c>
      <c r="B38" s="20" t="n">
        <v>1.5</v>
      </c>
      <c r="C38" s="11" t="s">
        <v>52</v>
      </c>
    </row>
    <row r="39" customFormat="false" ht="15" hidden="false" customHeight="true" outlineLevel="0" collapsed="false">
      <c r="A39" s="9" t="s">
        <v>43</v>
      </c>
      <c r="B39" s="20" t="n">
        <v>2.5</v>
      </c>
      <c r="C39" s="11" t="s">
        <v>52</v>
      </c>
    </row>
    <row r="40" customFormat="false" ht="15" hidden="false" customHeight="true" outlineLevel="0" collapsed="false">
      <c r="A40" s="9" t="s">
        <v>54</v>
      </c>
      <c r="B40" s="20" t="n">
        <v>4</v>
      </c>
      <c r="C40" s="11" t="s">
        <v>52</v>
      </c>
    </row>
    <row r="42" customFormat="false" ht="15" hidden="false" customHeight="true" outlineLevel="0" collapsed="false">
      <c r="A42" s="8" t="s">
        <v>55</v>
      </c>
      <c r="B42" s="8"/>
      <c r="C42" s="8"/>
      <c r="D42" s="8"/>
    </row>
    <row r="43" customFormat="false" ht="15" hidden="false" customHeight="true" outlineLevel="0" collapsed="false">
      <c r="A43" s="9" t="s">
        <v>56</v>
      </c>
      <c r="B43" s="21" t="n">
        <v>0.0085</v>
      </c>
      <c r="C43" s="11" t="s">
        <v>57</v>
      </c>
    </row>
    <row r="44" customFormat="false" ht="15" hidden="false" customHeight="true" outlineLevel="0" collapsed="false">
      <c r="A44" s="9" t="s">
        <v>58</v>
      </c>
      <c r="B44" s="12" t="n">
        <v>0.005</v>
      </c>
      <c r="C44" s="11" t="s">
        <v>57</v>
      </c>
    </row>
    <row r="45" customFormat="false" ht="15" hidden="false" customHeight="true" outlineLevel="0" collapsed="false">
      <c r="A45" s="9" t="s">
        <v>59</v>
      </c>
      <c r="B45" s="12" t="n">
        <v>0.04</v>
      </c>
      <c r="C45" s="11" t="s">
        <v>57</v>
      </c>
    </row>
    <row r="46" customFormat="false" ht="15" hidden="false" customHeight="true" outlineLevel="0" collapsed="false">
      <c r="A46" s="9" t="s">
        <v>60</v>
      </c>
      <c r="B46" s="19" t="n">
        <v>10</v>
      </c>
      <c r="C46" s="11" t="s">
        <v>61</v>
      </c>
    </row>
    <row r="48" customFormat="false" ht="15" hidden="false" customHeight="true" outlineLevel="0" collapsed="false">
      <c r="A48" s="8" t="s">
        <v>62</v>
      </c>
      <c r="B48" s="8"/>
      <c r="C48" s="8"/>
      <c r="D48" s="8"/>
    </row>
    <row r="49" customFormat="false" ht="15" hidden="false" customHeight="true" outlineLevel="0" collapsed="false">
      <c r="A49" s="9" t="s">
        <v>63</v>
      </c>
      <c r="B49" s="19" t="n">
        <v>250</v>
      </c>
      <c r="C49" s="11" t="s">
        <v>64</v>
      </c>
    </row>
    <row r="50" customFormat="false" ht="15" hidden="false" customHeight="true" outlineLevel="0" collapsed="false">
      <c r="A50" s="9" t="s">
        <v>65</v>
      </c>
      <c r="B50" s="19" t="n">
        <v>4</v>
      </c>
      <c r="C50" s="11" t="s">
        <v>64</v>
      </c>
    </row>
    <row r="51" customFormat="false" ht="15" hidden="false" customHeight="true" outlineLevel="0" collapsed="false">
      <c r="A51" s="9" t="s">
        <v>66</v>
      </c>
      <c r="B51" s="19" t="n">
        <v>40</v>
      </c>
      <c r="C51" s="11" t="s">
        <v>64</v>
      </c>
    </row>
    <row r="52" customFormat="false" ht="15" hidden="false" customHeight="true" outlineLevel="0" collapsed="false">
      <c r="A52" s="9" t="s">
        <v>67</v>
      </c>
      <c r="B52" s="19" t="n">
        <v>5</v>
      </c>
      <c r="C52" s="11" t="s">
        <v>28</v>
      </c>
    </row>
  </sheetData>
  <mergeCells count="9">
    <mergeCell ref="A1:D1"/>
    <mergeCell ref="A2:D2"/>
    <mergeCell ref="A5:D5"/>
    <mergeCell ref="A18:D18"/>
    <mergeCell ref="A23:D23"/>
    <mergeCell ref="A27:D27"/>
    <mergeCell ref="A35:D35"/>
    <mergeCell ref="A42:D42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8"/>
  </cols>
  <sheetData>
    <row r="1" customFormat="false" ht="24" hidden="false" customHeight="true" outlineLevel="0" collapsed="false">
      <c r="A1" s="2" t="s">
        <v>68</v>
      </c>
      <c r="B1" s="2"/>
      <c r="C1" s="2"/>
      <c r="D1" s="2"/>
    </row>
    <row r="2" customFormat="false" ht="15" hidden="false" customHeight="true" outlineLevel="0" collapsed="false">
      <c r="A2" s="3" t="s">
        <v>69</v>
      </c>
      <c r="B2" s="3"/>
      <c r="C2" s="3"/>
      <c r="D2" s="3"/>
    </row>
    <row r="4" customFormat="false" ht="27.75" hidden="false" customHeight="true" outlineLevel="0" collapsed="false">
      <c r="A4" s="22" t="s">
        <v>70</v>
      </c>
      <c r="B4" s="22" t="s">
        <v>71</v>
      </c>
      <c r="C4" s="22" t="s">
        <v>72</v>
      </c>
      <c r="D4" s="22" t="s">
        <v>73</v>
      </c>
    </row>
    <row r="5" customFormat="false" ht="15" hidden="false" customHeight="true" outlineLevel="0" collapsed="false">
      <c r="A5" s="9" t="s">
        <v>74</v>
      </c>
      <c r="B5" s="23" t="n">
        <f aca="false">Assumptions!$B$6*Assumptions!$B$7</f>
        <v>160</v>
      </c>
      <c r="C5" s="24" t="n">
        <f aca="false">Assumptions!$B$11</f>
        <v>0.025</v>
      </c>
      <c r="D5" s="25" t="n">
        <f aca="false">B5*C5*Assumptions!$B$10</f>
        <v>2920</v>
      </c>
    </row>
    <row r="6" customFormat="false" ht="15" hidden="false" customHeight="true" outlineLevel="0" collapsed="false">
      <c r="A6" s="9" t="s">
        <v>75</v>
      </c>
      <c r="B6" s="23" t="n">
        <f aca="false">Assumptions!$B$6*Assumptions!$B$8</f>
        <v>160</v>
      </c>
      <c r="C6" s="24" t="n">
        <f aca="false">Assumptions!$B$12</f>
        <v>0.0015</v>
      </c>
      <c r="D6" s="25" t="n">
        <f aca="false">B6*C6*Assumptions!$B$10</f>
        <v>175.2</v>
      </c>
    </row>
    <row r="7" customFormat="false" ht="15" hidden="false" customHeight="true" outlineLevel="0" collapsed="false">
      <c r="A7" s="9" t="s">
        <v>76</v>
      </c>
      <c r="B7" s="23" t="n">
        <f aca="false">Assumptions!$B$6*Assumptions!$B$9*1024</f>
        <v>20480</v>
      </c>
      <c r="C7" s="24" t="n">
        <f aca="false">Assumptions!$B$13</f>
        <v>0.0255</v>
      </c>
      <c r="D7" s="25" t="n">
        <f aca="false">B7*C7</f>
        <v>522.24</v>
      </c>
    </row>
    <row r="8" customFormat="false" ht="15" hidden="false" customHeight="true" outlineLevel="0" collapsed="false">
      <c r="A8" s="9" t="s">
        <v>77</v>
      </c>
      <c r="B8" s="23" t="n">
        <v>0</v>
      </c>
      <c r="C8" s="24" t="n">
        <v>0</v>
      </c>
      <c r="D8" s="25" t="n">
        <v>0</v>
      </c>
    </row>
    <row r="9" customFormat="false" ht="15" hidden="false" customHeight="true" outlineLevel="0" collapsed="false">
      <c r="A9" s="26" t="s">
        <v>78</v>
      </c>
      <c r="D9" s="27" t="n">
        <f aca="false">SUM(D5:D8)</f>
        <v>3617.44</v>
      </c>
    </row>
    <row r="10" customFormat="false" ht="15" hidden="false" customHeight="true" outlineLevel="0" collapsed="false">
      <c r="A10" s="9" t="s">
        <v>23</v>
      </c>
      <c r="C10" s="28" t="n">
        <f aca="false">Assumptions!$B$14</f>
        <v>0.15</v>
      </c>
      <c r="D10" s="25" t="n">
        <f aca="false">D9*C10</f>
        <v>542.616</v>
      </c>
    </row>
    <row r="11" customFormat="false" ht="15" hidden="false" customHeight="true" outlineLevel="0" collapsed="false">
      <c r="A11" s="29" t="s">
        <v>79</v>
      </c>
      <c r="D11" s="30" t="n">
        <f aca="false">D9+D10</f>
        <v>4160.056</v>
      </c>
    </row>
    <row r="13" customFormat="false" ht="15" hidden="false" customHeight="true" outlineLevel="0" collapsed="false">
      <c r="A13" s="26" t="s">
        <v>80</v>
      </c>
      <c r="D13" s="31" t="n">
        <f aca="false">D11/Assumptions!$B$19</f>
        <v>0.000138668533333333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22"/>
  </cols>
  <sheetData>
    <row r="1" customFormat="false" ht="24" hidden="false" customHeight="true" outlineLevel="0" collapsed="false">
      <c r="A1" s="2" t="s">
        <v>81</v>
      </c>
      <c r="B1" s="2"/>
      <c r="C1" s="2"/>
      <c r="D1" s="2"/>
    </row>
    <row r="2" customFormat="false" ht="15" hidden="false" customHeight="true" outlineLevel="0" collapsed="false">
      <c r="A2" s="3" t="s">
        <v>82</v>
      </c>
      <c r="B2" s="3"/>
      <c r="C2" s="3"/>
      <c r="D2" s="3"/>
    </row>
    <row r="4" customFormat="false" ht="27.75" hidden="false" customHeight="true" outlineLevel="0" collapsed="false">
      <c r="A4" s="22" t="s">
        <v>83</v>
      </c>
      <c r="B4" s="22" t="s">
        <v>84</v>
      </c>
      <c r="C4" s="22" t="s">
        <v>85</v>
      </c>
      <c r="D4" s="22" t="s">
        <v>86</v>
      </c>
    </row>
    <row r="5" customFormat="false" ht="15" hidden="false" customHeight="true" outlineLevel="0" collapsed="false">
      <c r="A5" s="19" t="n">
        <v>100</v>
      </c>
      <c r="B5" s="15" t="n">
        <f aca="false">A5*30*Assumptions!$B$16</f>
        <v>15000</v>
      </c>
      <c r="C5" s="32" t="n">
        <f aca="false">B5/Assumptions!$B$21</f>
        <v>9.375E-005</v>
      </c>
      <c r="D5" s="33" t="n">
        <f aca="false">'Rent Cost Model'!$D$11/B5</f>
        <v>0.277337066666667</v>
      </c>
    </row>
    <row r="6" customFormat="false" ht="15" hidden="false" customHeight="true" outlineLevel="0" collapsed="false">
      <c r="A6" s="19" t="n">
        <v>1000</v>
      </c>
      <c r="B6" s="15" t="n">
        <f aca="false">A6*30*Assumptions!$B$16</f>
        <v>150000</v>
      </c>
      <c r="C6" s="32" t="n">
        <f aca="false">B6/Assumptions!$B$21</f>
        <v>0.0009375</v>
      </c>
      <c r="D6" s="33" t="n">
        <f aca="false">'Rent Cost Model'!$D$11/B6</f>
        <v>0.0277337066666667</v>
      </c>
    </row>
    <row r="7" customFormat="false" ht="15" hidden="false" customHeight="true" outlineLevel="0" collapsed="false">
      <c r="A7" s="19" t="n">
        <v>10000</v>
      </c>
      <c r="B7" s="15" t="n">
        <f aca="false">A7*30*Assumptions!$B$16</f>
        <v>1500000</v>
      </c>
      <c r="C7" s="32" t="n">
        <f aca="false">B7/Assumptions!$B$21</f>
        <v>0.009375</v>
      </c>
      <c r="D7" s="33" t="n">
        <f aca="false">'Rent Cost Model'!$D$11/B7</f>
        <v>0.00277337066666667</v>
      </c>
    </row>
    <row r="8" customFormat="false" ht="15" hidden="false" customHeight="true" outlineLevel="0" collapsed="false">
      <c r="A8" s="19" t="n">
        <v>100000</v>
      </c>
      <c r="B8" s="15" t="n">
        <f aca="false">A8*30*Assumptions!$B$16</f>
        <v>15000000</v>
      </c>
      <c r="C8" s="32" t="n">
        <f aca="false">B8/Assumptions!$B$21</f>
        <v>0.09375</v>
      </c>
      <c r="D8" s="33" t="n">
        <f aca="false">'Rent Cost Model'!$D$11/B8</f>
        <v>0.000277337066666667</v>
      </c>
    </row>
    <row r="9" customFormat="false" ht="15" hidden="false" customHeight="true" outlineLevel="0" collapsed="false">
      <c r="A9" s="19" t="n">
        <v>1000000</v>
      </c>
      <c r="B9" s="15" t="n">
        <f aca="false">A9*30*Assumptions!$B$16</f>
        <v>150000000</v>
      </c>
      <c r="C9" s="32" t="n">
        <f aca="false">B9/Assumptions!$B$21</f>
        <v>0.9375</v>
      </c>
      <c r="D9" s="33" t="n">
        <f aca="false">'Rent Cost Model'!$D$11/B9</f>
        <v>2.77337066666667E-005</v>
      </c>
    </row>
    <row r="11" customFormat="false" ht="15" hidden="false" customHeight="true" outlineLevel="0" collapsed="false">
      <c r="A11" s="8" t="s">
        <v>87</v>
      </c>
      <c r="B11" s="8"/>
      <c r="C11" s="8"/>
      <c r="D11" s="8"/>
    </row>
    <row r="12" customFormat="false" ht="15" hidden="false" customHeight="true" outlineLevel="0" collapsed="false">
      <c r="A12" s="9" t="s">
        <v>88</v>
      </c>
      <c r="B12" s="19" t="n">
        <v>50</v>
      </c>
    </row>
    <row r="13" customFormat="false" ht="15" hidden="false" customHeight="true" outlineLevel="0" collapsed="false">
      <c r="A13" s="9" t="s">
        <v>89</v>
      </c>
      <c r="B13" s="34" t="n">
        <f aca="false">1-1/B12</f>
        <v>0.98</v>
      </c>
    </row>
    <row r="14" customFormat="false" ht="15" hidden="false" customHeight="true" outlineLevel="0" collapsed="false">
      <c r="A14" s="9" t="s">
        <v>90</v>
      </c>
      <c r="B14" s="19" t="n">
        <v>1</v>
      </c>
    </row>
    <row r="15" customFormat="false" ht="15" hidden="false" customHeight="true" outlineLevel="0" collapsed="false">
      <c r="A15" s="9" t="s">
        <v>91</v>
      </c>
      <c r="B15" s="34" t="n">
        <f aca="false">1-0.5*EXP(-B12/B14)</f>
        <v>1</v>
      </c>
    </row>
  </sheetData>
  <mergeCells count="3">
    <mergeCell ref="A1:D1"/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15"/>
  </cols>
  <sheetData>
    <row r="1" customFormat="false" ht="24" hidden="false" customHeight="true" outlineLevel="0" collapsed="false">
      <c r="A1" s="2" t="s">
        <v>92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93</v>
      </c>
      <c r="B2" s="3"/>
      <c r="C2" s="3"/>
      <c r="D2" s="3"/>
      <c r="E2" s="3"/>
      <c r="F2" s="3"/>
    </row>
    <row r="4" customFormat="false" ht="25.5" hidden="false" customHeight="true" outlineLevel="0" collapsed="false">
      <c r="A4" s="22" t="s">
        <v>94</v>
      </c>
      <c r="B4" s="35" t="n">
        <v>0</v>
      </c>
      <c r="C4" s="35" t="n">
        <v>0.0001</v>
      </c>
      <c r="D4" s="35" t="n">
        <v>0.001</v>
      </c>
      <c r="E4" s="35" t="n">
        <v>0.01</v>
      </c>
      <c r="F4" s="35" t="n">
        <v>0.1</v>
      </c>
    </row>
    <row r="5" customFormat="false" ht="15" hidden="false" customHeight="true" outlineLevel="0" collapsed="false">
      <c r="A5" s="19" t="n">
        <v>100</v>
      </c>
      <c r="B5" s="36" t="n">
        <f aca="false">'Rent Density'!$D$5-B$4</f>
        <v>0.277337066666667</v>
      </c>
      <c r="C5" s="36" t="n">
        <f aca="false">'Rent Density'!$D$5-C$4</f>
        <v>0.277237066666667</v>
      </c>
      <c r="D5" s="36" t="n">
        <f aca="false">'Rent Density'!$D$5-D$4</f>
        <v>0.276337066666667</v>
      </c>
      <c r="E5" s="36" t="n">
        <f aca="false">'Rent Density'!$D$5-E$4</f>
        <v>0.267337066666667</v>
      </c>
      <c r="F5" s="36" t="n">
        <f aca="false">'Rent Density'!$D$5-F$4</f>
        <v>0.177337066666667</v>
      </c>
    </row>
    <row r="6" customFormat="false" ht="15" hidden="false" customHeight="true" outlineLevel="0" collapsed="false">
      <c r="A6" s="19" t="n">
        <v>1000</v>
      </c>
      <c r="B6" s="36" t="n">
        <f aca="false">'Rent Density'!$D$6-B$4</f>
        <v>0.0277337066666667</v>
      </c>
      <c r="C6" s="36" t="n">
        <f aca="false">'Rent Density'!$D$6-C$4</f>
        <v>0.0276337066666667</v>
      </c>
      <c r="D6" s="36" t="n">
        <f aca="false">'Rent Density'!$D$6-D$4</f>
        <v>0.0267337066666667</v>
      </c>
      <c r="E6" s="36" t="n">
        <f aca="false">'Rent Density'!$D$6-E$4</f>
        <v>0.0177337066666667</v>
      </c>
      <c r="F6" s="36" t="n">
        <f aca="false">'Rent Density'!$D$6-F$4</f>
        <v>-0.0722662933333333</v>
      </c>
    </row>
    <row r="7" customFormat="false" ht="15" hidden="false" customHeight="true" outlineLevel="0" collapsed="false">
      <c r="A7" s="19" t="n">
        <v>10000</v>
      </c>
      <c r="B7" s="36" t="n">
        <f aca="false">'Rent Density'!$D$7-B$4</f>
        <v>0.00277337066666667</v>
      </c>
      <c r="C7" s="36" t="n">
        <f aca="false">'Rent Density'!$D$7-C$4</f>
        <v>0.00267337066666667</v>
      </c>
      <c r="D7" s="36" t="n">
        <f aca="false">'Rent Density'!$D$7-D$4</f>
        <v>0.00177337066666667</v>
      </c>
      <c r="E7" s="36" t="n">
        <f aca="false">'Rent Density'!$D$7-E$4</f>
        <v>-0.00722662933333333</v>
      </c>
      <c r="F7" s="36" t="n">
        <f aca="false">'Rent Density'!$D$7-F$4</f>
        <v>-0.0972266293333333</v>
      </c>
    </row>
    <row r="8" customFormat="false" ht="15" hidden="false" customHeight="true" outlineLevel="0" collapsed="false">
      <c r="A8" s="19" t="n">
        <v>100000</v>
      </c>
      <c r="B8" s="36" t="n">
        <f aca="false">'Rent Density'!$D$8-B$4</f>
        <v>0.000277337066666667</v>
      </c>
      <c r="C8" s="36" t="n">
        <f aca="false">'Rent Density'!$D$8-C$4</f>
        <v>0.000177337066666667</v>
      </c>
      <c r="D8" s="36" t="n">
        <f aca="false">'Rent Density'!$D$8-D$4</f>
        <v>-0.000722662933333333</v>
      </c>
      <c r="E8" s="36" t="n">
        <f aca="false">'Rent Density'!$D$8-E$4</f>
        <v>-0.00972266293333333</v>
      </c>
      <c r="F8" s="36" t="n">
        <f aca="false">'Rent Density'!$D$8-F$4</f>
        <v>-0.0997226629333333</v>
      </c>
    </row>
    <row r="9" customFormat="false" ht="15" hidden="false" customHeight="true" outlineLevel="0" collapsed="false">
      <c r="A9" s="19" t="n">
        <v>1000000</v>
      </c>
      <c r="B9" s="36" t="n">
        <f aca="false">'Rent Density'!$D$9-B$4</f>
        <v>2.77337066666667E-005</v>
      </c>
      <c r="C9" s="36" t="n">
        <f aca="false">'Rent Density'!$D$9-C$4</f>
        <v>-7.22662933333334E-005</v>
      </c>
      <c r="D9" s="36" t="n">
        <f aca="false">'Rent Density'!$D$9-D$4</f>
        <v>-0.000972266293333333</v>
      </c>
      <c r="E9" s="36" t="n">
        <f aca="false">'Rent Density'!$D$9-E$4</f>
        <v>-0.00997226629333333</v>
      </c>
      <c r="F9" s="36" t="n">
        <f aca="false">'Rent Density'!$D$9-F$4</f>
        <v>-0.0999722662933333</v>
      </c>
    </row>
  </sheetData>
  <mergeCells count="2">
    <mergeCell ref="A1:F1"/>
    <mergeCell ref="A2:F2"/>
  </mergeCells>
  <conditionalFormatting sqref="B5:F9">
    <cfRule type="cellIs" priority="2" operator="lessThanOr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7" min="7" style="1" width="12"/>
  </cols>
  <sheetData>
    <row r="1" customFormat="false" ht="24" hidden="false" customHeight="true" outlineLevel="0" collapsed="false">
      <c r="A1" s="2" t="s">
        <v>95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96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8" t="s">
        <v>97</v>
      </c>
      <c r="B4" s="8"/>
      <c r="C4" s="8"/>
      <c r="D4" s="8"/>
      <c r="E4" s="8"/>
      <c r="F4" s="8"/>
      <c r="G4" s="8"/>
    </row>
    <row r="5" customFormat="false" ht="15" hidden="false" customHeight="true" outlineLevel="0" collapsed="false">
      <c r="A5" s="9" t="s">
        <v>98</v>
      </c>
      <c r="B5" s="24" t="n">
        <f aca="false">Assumptions!$B$28</f>
        <v>0.01</v>
      </c>
    </row>
    <row r="6" customFormat="false" ht="15" hidden="false" customHeight="true" outlineLevel="0" collapsed="false">
      <c r="A6" s="9" t="s">
        <v>99</v>
      </c>
      <c r="B6" s="37" t="n">
        <f aca="false">Assumptions!$B$36</f>
        <v>1.2</v>
      </c>
    </row>
    <row r="7" customFormat="false" ht="15" hidden="false" customHeight="true" outlineLevel="0" collapsed="false">
      <c r="A7" s="9" t="s">
        <v>100</v>
      </c>
      <c r="B7" s="38" t="n">
        <f aca="false">'Rent Cost Model'!$D$11</f>
        <v>4160.056</v>
      </c>
    </row>
    <row r="8" customFormat="false" ht="15" hidden="false" customHeight="true" outlineLevel="0" collapsed="false">
      <c r="A8" s="9" t="s">
        <v>101</v>
      </c>
      <c r="B8" s="25" t="n">
        <f aca="false">B6*B7</f>
        <v>4992.0672</v>
      </c>
    </row>
    <row r="9" customFormat="false" ht="15" hidden="false" customHeight="true" outlineLevel="0" collapsed="false">
      <c r="A9" s="9" t="s">
        <v>102</v>
      </c>
      <c r="B9" s="23" t="n">
        <f aca="false">Assumptions!$B$19</f>
        <v>30000000</v>
      </c>
    </row>
    <row r="10" customFormat="false" ht="15" hidden="false" customHeight="true" outlineLevel="0" collapsed="false">
      <c r="A10" s="9" t="s">
        <v>103</v>
      </c>
      <c r="B10" s="19" t="n">
        <v>10000</v>
      </c>
    </row>
    <row r="11" customFormat="false" ht="15" hidden="false" customHeight="true" outlineLevel="0" collapsed="false">
      <c r="A11" s="9" t="s">
        <v>104</v>
      </c>
      <c r="B11" s="15" t="n">
        <f aca="false">B8/B5</f>
        <v>499206.72</v>
      </c>
    </row>
    <row r="12" customFormat="false" ht="15" hidden="false" customHeight="true" outlineLevel="0" collapsed="false">
      <c r="A12" s="9" t="s">
        <v>105</v>
      </c>
      <c r="B12" s="32" t="n">
        <f aca="false">B11/B9</f>
        <v>0.016640224</v>
      </c>
    </row>
    <row r="14" customFormat="false" ht="27.75" hidden="false" customHeight="true" outlineLevel="0" collapsed="false">
      <c r="A14" s="22" t="s">
        <v>106</v>
      </c>
      <c r="B14" s="22" t="s">
        <v>107</v>
      </c>
      <c r="C14" s="22" t="s">
        <v>108</v>
      </c>
      <c r="D14" s="22" t="s">
        <v>109</v>
      </c>
      <c r="E14" s="22" t="s">
        <v>110</v>
      </c>
      <c r="F14" s="22" t="s">
        <v>111</v>
      </c>
      <c r="G14" s="22" t="s">
        <v>112</v>
      </c>
    </row>
    <row r="15" customFormat="false" ht="15" hidden="false" customHeight="true" outlineLevel="0" collapsed="false">
      <c r="A15" s="39" t="s">
        <v>113</v>
      </c>
      <c r="B15" s="19" t="n">
        <v>100</v>
      </c>
      <c r="C15" s="15" t="n">
        <f aca="false">B15*$B$10</f>
        <v>1000000</v>
      </c>
      <c r="D15" s="15" t="n">
        <f aca="false">CEILING(C15/$B$9,1)</f>
        <v>1</v>
      </c>
      <c r="E15" s="25" t="n">
        <f aca="false">D15*$B$8</f>
        <v>4992.0672</v>
      </c>
      <c r="F15" s="25" t="n">
        <f aca="false">C15*$B$5</f>
        <v>10000</v>
      </c>
      <c r="G15" s="40" t="n">
        <f aca="false">F15/E15</f>
        <v>2.00317816234525</v>
      </c>
    </row>
    <row r="16" customFormat="false" ht="15" hidden="false" customHeight="true" outlineLevel="0" collapsed="false">
      <c r="A16" s="39" t="s">
        <v>114</v>
      </c>
      <c r="B16" s="19" t="n">
        <v>1000</v>
      </c>
      <c r="C16" s="15" t="n">
        <f aca="false">B16*$B$10</f>
        <v>10000000</v>
      </c>
      <c r="D16" s="15" t="n">
        <f aca="false">CEILING(C16/$B$9,1)</f>
        <v>1</v>
      </c>
      <c r="E16" s="25" t="n">
        <f aca="false">D16*$B$8</f>
        <v>4992.0672</v>
      </c>
      <c r="F16" s="25" t="n">
        <f aca="false">C16*$B$5</f>
        <v>100000</v>
      </c>
      <c r="G16" s="40" t="n">
        <f aca="false">F16/E16</f>
        <v>20.0317816234525</v>
      </c>
    </row>
    <row r="17" customFormat="false" ht="15" hidden="false" customHeight="true" outlineLevel="0" collapsed="false">
      <c r="A17" s="39" t="s">
        <v>115</v>
      </c>
      <c r="B17" s="19" t="n">
        <v>10000</v>
      </c>
      <c r="C17" s="15" t="n">
        <f aca="false">B17*$B$10</f>
        <v>100000000</v>
      </c>
      <c r="D17" s="15" t="n">
        <f aca="false">CEILING(C17/$B$9,1)</f>
        <v>4</v>
      </c>
      <c r="E17" s="25" t="n">
        <f aca="false">D17*$B$8</f>
        <v>19968.2688</v>
      </c>
      <c r="F17" s="25" t="n">
        <f aca="false">C17*$B$5</f>
        <v>1000000</v>
      </c>
      <c r="G17" s="40" t="n">
        <f aca="false">F17/E17</f>
        <v>50.0794540586313</v>
      </c>
    </row>
    <row r="18" customFormat="false" ht="15" hidden="false" customHeight="true" outlineLevel="0" collapsed="false">
      <c r="A18" s="39" t="s">
        <v>116</v>
      </c>
      <c r="B18" s="19" t="n">
        <v>100000</v>
      </c>
      <c r="C18" s="15" t="n">
        <f aca="false">B18*$B$10</f>
        <v>1000000000</v>
      </c>
      <c r="D18" s="15" t="n">
        <f aca="false">CEILING(C18/$B$9,1)</f>
        <v>34</v>
      </c>
      <c r="E18" s="25" t="n">
        <f aca="false">D18*$B$8</f>
        <v>169730.2848</v>
      </c>
      <c r="F18" s="25" t="n">
        <f aca="false">C18*$B$5</f>
        <v>10000000</v>
      </c>
      <c r="G18" s="40" t="n">
        <f aca="false">F18/E18</f>
        <v>58.9170047748603</v>
      </c>
    </row>
    <row r="19" customFormat="false" ht="15" hidden="false" customHeight="true" outlineLevel="0" collapsed="false">
      <c r="A19" s="39" t="s">
        <v>117</v>
      </c>
      <c r="B19" s="19" t="n">
        <v>1000000</v>
      </c>
      <c r="C19" s="15" t="n">
        <f aca="false">B19*$B$10</f>
        <v>10000000000</v>
      </c>
      <c r="D19" s="15" t="n">
        <f aca="false">CEILING(C19/$B$9,1)</f>
        <v>334</v>
      </c>
      <c r="E19" s="25" t="n">
        <f aca="false">D19*$B$8</f>
        <v>1667350.4448</v>
      </c>
      <c r="F19" s="25" t="n">
        <f aca="false">C19*$B$5</f>
        <v>100000000</v>
      </c>
      <c r="G19" s="40" t="n">
        <f aca="false">F19/E19</f>
        <v>59.9753940821931</v>
      </c>
    </row>
  </sheetData>
  <mergeCells count="3">
    <mergeCell ref="A1:G1"/>
    <mergeCell ref="A2:G2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5" min="4" style="1" width="16"/>
    <col collapsed="false" customWidth="true" hidden="false" outlineLevel="0" max="6" min="6" style="1" width="12"/>
  </cols>
  <sheetData>
    <row r="1" customFormat="false" ht="24" hidden="false" customHeight="true" outlineLevel="0" collapsed="false">
      <c r="A1" s="2" t="s">
        <v>118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119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8" t="s">
        <v>97</v>
      </c>
      <c r="B4" s="8"/>
      <c r="C4" s="8"/>
      <c r="D4" s="8"/>
      <c r="E4" s="8"/>
      <c r="F4" s="8"/>
    </row>
    <row r="5" customFormat="false" ht="15" hidden="false" customHeight="true" outlineLevel="0" collapsed="false">
      <c r="A5" s="9" t="s">
        <v>98</v>
      </c>
      <c r="B5" s="24" t="n">
        <f aca="false">Assumptions!$B$29</f>
        <v>0.25</v>
      </c>
    </row>
    <row r="6" customFormat="false" ht="15" hidden="false" customHeight="true" outlineLevel="0" collapsed="false">
      <c r="A6" s="9" t="s">
        <v>99</v>
      </c>
      <c r="B6" s="37" t="n">
        <f aca="false">Assumptions!$B$39</f>
        <v>2.5</v>
      </c>
    </row>
    <row r="7" customFormat="false" ht="15" hidden="false" customHeight="true" outlineLevel="0" collapsed="false">
      <c r="A7" s="9" t="s">
        <v>100</v>
      </c>
      <c r="B7" s="38" t="n">
        <f aca="false">'Rent Cost Model'!$D$11</f>
        <v>4160.056</v>
      </c>
    </row>
    <row r="8" customFormat="false" ht="15" hidden="false" customHeight="true" outlineLevel="0" collapsed="false">
      <c r="A8" s="9" t="s">
        <v>101</v>
      </c>
      <c r="B8" s="25" t="n">
        <f aca="false">B6*B7</f>
        <v>10400.14</v>
      </c>
    </row>
    <row r="9" customFormat="false" ht="15" hidden="false" customHeight="true" outlineLevel="0" collapsed="false">
      <c r="A9" s="9" t="s">
        <v>120</v>
      </c>
      <c r="B9" s="23" t="n">
        <f aca="false">Assumptions!$B$20</f>
        <v>20000000</v>
      </c>
    </row>
    <row r="10" customFormat="false" ht="15" hidden="false" customHeight="true" outlineLevel="0" collapsed="false">
      <c r="A10" s="9" t="s">
        <v>104</v>
      </c>
      <c r="B10" s="15" t="n">
        <f aca="false">B8/B5</f>
        <v>41600.56</v>
      </c>
    </row>
    <row r="11" customFormat="false" ht="15" hidden="false" customHeight="true" outlineLevel="0" collapsed="false">
      <c r="A11" s="9" t="s">
        <v>105</v>
      </c>
      <c r="B11" s="32" t="n">
        <f aca="false">B10/B9</f>
        <v>0.002080028</v>
      </c>
    </row>
    <row r="13" customFormat="false" ht="27.75" hidden="false" customHeight="true" outlineLevel="0" collapsed="false">
      <c r="A13" s="22" t="s">
        <v>106</v>
      </c>
      <c r="B13" s="22" t="s">
        <v>108</v>
      </c>
      <c r="C13" s="22" t="s">
        <v>109</v>
      </c>
      <c r="D13" s="22" t="s">
        <v>110</v>
      </c>
      <c r="E13" s="22" t="s">
        <v>111</v>
      </c>
      <c r="F13" s="22" t="s">
        <v>112</v>
      </c>
    </row>
    <row r="14" customFormat="false" ht="15" hidden="false" customHeight="true" outlineLevel="0" collapsed="false">
      <c r="A14" s="39" t="s">
        <v>113</v>
      </c>
      <c r="B14" s="19" t="n">
        <v>50000</v>
      </c>
      <c r="C14" s="15" t="n">
        <f aca="false">CEILING(B14/$B$9,1)</f>
        <v>1</v>
      </c>
      <c r="D14" s="25" t="n">
        <f aca="false">C14*$B$8</f>
        <v>10400.14</v>
      </c>
      <c r="E14" s="25" t="n">
        <f aca="false">B14*$B$5</f>
        <v>12500</v>
      </c>
      <c r="F14" s="40" t="n">
        <f aca="false">E14/D14</f>
        <v>1.20190689740715</v>
      </c>
    </row>
    <row r="15" customFormat="false" ht="15" hidden="false" customHeight="true" outlineLevel="0" collapsed="false">
      <c r="A15" s="39" t="s">
        <v>114</v>
      </c>
      <c r="B15" s="19" t="n">
        <v>500000</v>
      </c>
      <c r="C15" s="15" t="n">
        <f aca="false">CEILING(B15/$B$9,1)</f>
        <v>1</v>
      </c>
      <c r="D15" s="25" t="n">
        <f aca="false">C15*$B$8</f>
        <v>10400.14</v>
      </c>
      <c r="E15" s="25" t="n">
        <f aca="false">B15*$B$5</f>
        <v>125000</v>
      </c>
      <c r="F15" s="40" t="n">
        <f aca="false">E15/D15</f>
        <v>12.0190689740715</v>
      </c>
    </row>
    <row r="16" customFormat="false" ht="15" hidden="false" customHeight="true" outlineLevel="0" collapsed="false">
      <c r="A16" s="39" t="s">
        <v>115</v>
      </c>
      <c r="B16" s="19" t="n">
        <v>5000000</v>
      </c>
      <c r="C16" s="15" t="n">
        <f aca="false">CEILING(B16/$B$9,1)</f>
        <v>1</v>
      </c>
      <c r="D16" s="25" t="n">
        <f aca="false">C16*$B$8</f>
        <v>10400.14</v>
      </c>
      <c r="E16" s="25" t="n">
        <f aca="false">B16*$B$5</f>
        <v>1250000</v>
      </c>
      <c r="F16" s="40" t="n">
        <f aca="false">E16/D16</f>
        <v>120.190689740715</v>
      </c>
    </row>
    <row r="17" customFormat="false" ht="15" hidden="false" customHeight="true" outlineLevel="0" collapsed="false">
      <c r="A17" s="39" t="s">
        <v>116</v>
      </c>
      <c r="B17" s="19" t="n">
        <v>50000000</v>
      </c>
      <c r="C17" s="15" t="n">
        <f aca="false">CEILING(B17/$B$9,1)</f>
        <v>3</v>
      </c>
      <c r="D17" s="25" t="n">
        <f aca="false">C17*$B$8</f>
        <v>31200.42</v>
      </c>
      <c r="E17" s="25" t="n">
        <f aca="false">B17*$B$5</f>
        <v>12500000</v>
      </c>
      <c r="F17" s="40" t="n">
        <f aca="false">E17/D17</f>
        <v>400.63563246905</v>
      </c>
    </row>
    <row r="18" customFormat="false" ht="15" hidden="false" customHeight="true" outlineLevel="0" collapsed="false">
      <c r="A18" s="39" t="s">
        <v>117</v>
      </c>
      <c r="B18" s="19" t="n">
        <v>500000000</v>
      </c>
      <c r="C18" s="15" t="n">
        <f aca="false">CEILING(B18/$B$9,1)</f>
        <v>25</v>
      </c>
      <c r="D18" s="25" t="n">
        <f aca="false">C18*$B$8</f>
        <v>260003.5</v>
      </c>
      <c r="E18" s="25" t="n">
        <f aca="false">B18*$B$5</f>
        <v>125000000</v>
      </c>
      <c r="F18" s="40" t="n">
        <f aca="false">E18/D18</f>
        <v>480.76275896286</v>
      </c>
    </row>
  </sheetData>
  <mergeCells count="3">
    <mergeCell ref="A1:F1"/>
    <mergeCell ref="A2:F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4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6"/>
  </cols>
  <sheetData>
    <row r="1" customFormat="false" ht="24" hidden="false" customHeight="true" outlineLevel="0" collapsed="false">
      <c r="A1" s="2" t="s">
        <v>121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122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8" t="s">
        <v>97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123</v>
      </c>
      <c r="B5" s="19" t="n">
        <v>9100000</v>
      </c>
    </row>
    <row r="6" customFormat="false" ht="15" hidden="false" customHeight="true" outlineLevel="0" collapsed="false">
      <c r="A6" s="9" t="s">
        <v>124</v>
      </c>
      <c r="B6" s="13" t="n">
        <v>0.8</v>
      </c>
    </row>
    <row r="7" customFormat="false" ht="15" hidden="false" customHeight="true" outlineLevel="0" collapsed="false">
      <c r="A7" s="9" t="s">
        <v>125</v>
      </c>
      <c r="B7" s="15" t="n">
        <f aca="false">B5*B6</f>
        <v>7280000</v>
      </c>
    </row>
    <row r="8" customFormat="false" ht="15" hidden="false" customHeight="true" outlineLevel="0" collapsed="false">
      <c r="A8" s="9" t="s">
        <v>126</v>
      </c>
      <c r="B8" s="41" t="n">
        <f aca="false">Assumptions!$B$31</f>
        <v>1</v>
      </c>
    </row>
    <row r="9" customFormat="false" ht="15" hidden="false" customHeight="true" outlineLevel="0" collapsed="false">
      <c r="A9" s="9" t="s">
        <v>127</v>
      </c>
      <c r="B9" s="23" t="n">
        <f aca="false">Assumptions!$B$32</f>
        <v>50</v>
      </c>
    </row>
    <row r="10" customFormat="false" ht="15" hidden="false" customHeight="true" outlineLevel="0" collapsed="false">
      <c r="A10" s="9" t="s">
        <v>99</v>
      </c>
      <c r="B10" s="37" t="n">
        <f aca="false">Assumptions!$B$40</f>
        <v>4</v>
      </c>
    </row>
    <row r="11" customFormat="false" ht="15" hidden="false" customHeight="true" outlineLevel="0" collapsed="false">
      <c r="A11" s="9" t="s">
        <v>100</v>
      </c>
      <c r="B11" s="38" t="n">
        <f aca="false">'Rent Cost Model'!$D$11</f>
        <v>4160.056</v>
      </c>
    </row>
    <row r="12" customFormat="false" ht="15" hidden="false" customHeight="true" outlineLevel="0" collapsed="false">
      <c r="A12" s="9" t="s">
        <v>101</v>
      </c>
      <c r="B12" s="25" t="n">
        <f aca="false">B11*B10</f>
        <v>16640.224</v>
      </c>
    </row>
    <row r="13" customFormat="false" ht="15" hidden="false" customHeight="true" outlineLevel="0" collapsed="false">
      <c r="A13" s="9" t="s">
        <v>120</v>
      </c>
      <c r="B13" s="23" t="n">
        <f aca="false">Assumptions!$B$20</f>
        <v>20000000</v>
      </c>
    </row>
    <row r="14" customFormat="false" ht="15" hidden="false" customHeight="true" outlineLevel="0" collapsed="false">
      <c r="A14" s="9" t="s">
        <v>128</v>
      </c>
      <c r="B14" s="15" t="n">
        <f aca="false">B12/B8</f>
        <v>16640.224</v>
      </c>
    </row>
    <row r="15" customFormat="false" ht="15" hidden="false" customHeight="true" outlineLevel="0" collapsed="false">
      <c r="A15" s="9" t="s">
        <v>129</v>
      </c>
      <c r="B15" s="15" t="n">
        <f aca="false">B13/B9</f>
        <v>400000</v>
      </c>
    </row>
    <row r="16" customFormat="false" ht="15" hidden="false" customHeight="true" outlineLevel="0" collapsed="false">
      <c r="A16" s="9" t="s">
        <v>105</v>
      </c>
      <c r="B16" s="34" t="n">
        <f aca="false">B14/B15</f>
        <v>0.04160056</v>
      </c>
    </row>
    <row r="18" customFormat="false" ht="27.75" hidden="false" customHeight="true" outlineLevel="0" collapsed="false">
      <c r="A18" s="22" t="s">
        <v>106</v>
      </c>
      <c r="B18" s="22" t="s">
        <v>130</v>
      </c>
      <c r="C18" s="22" t="s">
        <v>108</v>
      </c>
      <c r="D18" s="22" t="s">
        <v>109</v>
      </c>
      <c r="E18" s="22" t="s">
        <v>110</v>
      </c>
      <c r="F18" s="22" t="s">
        <v>111</v>
      </c>
      <c r="G18" s="22" t="s">
        <v>112</v>
      </c>
      <c r="H18" s="22" t="s">
        <v>131</v>
      </c>
      <c r="I18" s="22" t="s">
        <v>132</v>
      </c>
    </row>
    <row r="19" customFormat="false" ht="15" hidden="false" customHeight="true" outlineLevel="0" collapsed="false">
      <c r="A19" s="39" t="s">
        <v>113</v>
      </c>
      <c r="B19" s="19" t="n">
        <v>7280</v>
      </c>
      <c r="C19" s="15" t="n">
        <f aca="false">B19*$B$9</f>
        <v>364000</v>
      </c>
      <c r="D19" s="15" t="n">
        <f aca="false">CEILING(C19/$B$13,1)</f>
        <v>1</v>
      </c>
      <c r="E19" s="25" t="n">
        <f aca="false">D19*$B$12</f>
        <v>16640.224</v>
      </c>
      <c r="F19" s="25" t="n">
        <f aca="false">B19*$B$8</f>
        <v>7280</v>
      </c>
      <c r="G19" s="40" t="n">
        <f aca="false">F19/E19</f>
        <v>0.437494110656203</v>
      </c>
      <c r="H19" s="25" t="n">
        <f aca="false">F19*12</f>
        <v>87360</v>
      </c>
      <c r="I19" s="25" t="n">
        <f aca="false">E19*12</f>
        <v>199682.688</v>
      </c>
    </row>
    <row r="20" customFormat="false" ht="15" hidden="false" customHeight="true" outlineLevel="0" collapsed="false">
      <c r="A20" s="39" t="s">
        <v>114</v>
      </c>
      <c r="B20" s="19" t="n">
        <v>72800</v>
      </c>
      <c r="C20" s="15" t="n">
        <f aca="false">B20*$B$9</f>
        <v>3640000</v>
      </c>
      <c r="D20" s="15" t="n">
        <f aca="false">CEILING(C20/$B$13,1)</f>
        <v>1</v>
      </c>
      <c r="E20" s="25" t="n">
        <f aca="false">D20*$B$12</f>
        <v>16640.224</v>
      </c>
      <c r="F20" s="25" t="n">
        <f aca="false">B20*$B$8</f>
        <v>72800</v>
      </c>
      <c r="G20" s="40" t="n">
        <f aca="false">F20/E20</f>
        <v>4.37494110656203</v>
      </c>
      <c r="H20" s="25" t="n">
        <f aca="false">F20*12</f>
        <v>873600</v>
      </c>
      <c r="I20" s="25" t="n">
        <f aca="false">E20*12</f>
        <v>199682.688</v>
      </c>
    </row>
    <row r="21" customFormat="false" ht="15" hidden="false" customHeight="true" outlineLevel="0" collapsed="false">
      <c r="A21" s="39" t="s">
        <v>115</v>
      </c>
      <c r="B21" s="19" t="n">
        <v>728000</v>
      </c>
      <c r="C21" s="15" t="n">
        <f aca="false">B21*$B$9</f>
        <v>36400000</v>
      </c>
      <c r="D21" s="15" t="n">
        <f aca="false">CEILING(C21/$B$13,1)</f>
        <v>2</v>
      </c>
      <c r="E21" s="25" t="n">
        <f aca="false">D21*$B$12</f>
        <v>33280.448</v>
      </c>
      <c r="F21" s="25" t="n">
        <f aca="false">B21*$B$8</f>
        <v>728000</v>
      </c>
      <c r="G21" s="40" t="n">
        <f aca="false">F21/E21</f>
        <v>21.8747055328101</v>
      </c>
      <c r="H21" s="25" t="n">
        <f aca="false">F21*12</f>
        <v>8736000</v>
      </c>
      <c r="I21" s="25" t="n">
        <f aca="false">E21*12</f>
        <v>399365.376</v>
      </c>
    </row>
    <row r="22" customFormat="false" ht="15" hidden="false" customHeight="true" outlineLevel="0" collapsed="false">
      <c r="A22" s="39" t="s">
        <v>116</v>
      </c>
      <c r="B22" s="15" t="n">
        <f aca="false">$B$7</f>
        <v>7280000</v>
      </c>
      <c r="C22" s="15" t="n">
        <f aca="false">B22*$B$9</f>
        <v>364000000</v>
      </c>
      <c r="D22" s="15" t="n">
        <f aca="false">CEILING(C22/$B$13,1)</f>
        <v>19</v>
      </c>
      <c r="E22" s="25" t="n">
        <f aca="false">D22*$B$12</f>
        <v>316164.256</v>
      </c>
      <c r="F22" s="25" t="n">
        <f aca="false">B22*$B$8</f>
        <v>7280000</v>
      </c>
      <c r="G22" s="40" t="n">
        <f aca="false">F22/E22</f>
        <v>23.0260058240107</v>
      </c>
      <c r="H22" s="25" t="n">
        <f aca="false">F22*12</f>
        <v>87360000</v>
      </c>
      <c r="I22" s="25" t="n">
        <f aca="false">E22*12</f>
        <v>3793971.072</v>
      </c>
    </row>
    <row r="23" customFormat="false" ht="15" hidden="false" customHeight="true" outlineLevel="0" collapsed="false">
      <c r="A23" s="39" t="s">
        <v>117</v>
      </c>
      <c r="B23" s="15" t="n">
        <f aca="false">$B$7</f>
        <v>7280000</v>
      </c>
      <c r="C23" s="15" t="n">
        <f aca="false">B23*$B$9</f>
        <v>364000000</v>
      </c>
      <c r="D23" s="15" t="n">
        <f aca="false">CEILING(C23/$B$13,1)</f>
        <v>19</v>
      </c>
      <c r="E23" s="25" t="n">
        <f aca="false">D23*$B$12</f>
        <v>316164.256</v>
      </c>
      <c r="F23" s="25" t="n">
        <f aca="false">B23*$B$8</f>
        <v>7280000</v>
      </c>
      <c r="G23" s="40" t="n">
        <f aca="false">F23/E23</f>
        <v>23.0260058240107</v>
      </c>
      <c r="H23" s="25" t="n">
        <f aca="false">F23*12</f>
        <v>87360000</v>
      </c>
      <c r="I23" s="25" t="n">
        <f aca="false">E23*12</f>
        <v>3793971.072</v>
      </c>
    </row>
    <row r="24" customFormat="false" ht="15" hidden="false" customHeight="true" outlineLevel="0" collapsed="false">
      <c r="A24" s="39" t="s">
        <v>133</v>
      </c>
      <c r="B24" s="15" t="n">
        <f aca="false">$B$7</f>
        <v>7280000</v>
      </c>
      <c r="C24" s="15" t="n">
        <f aca="false">B24*$B$9</f>
        <v>364000000</v>
      </c>
      <c r="D24" s="15" t="n">
        <f aca="false">CEILING(C24/$B$13,1)</f>
        <v>19</v>
      </c>
      <c r="E24" s="25" t="n">
        <f aca="false">D24*$B$12</f>
        <v>316164.256</v>
      </c>
      <c r="F24" s="25" t="n">
        <f aca="false">B24*$B$8</f>
        <v>7280000</v>
      </c>
      <c r="G24" s="40" t="n">
        <f aca="false">F24/E24</f>
        <v>23.0260058240107</v>
      </c>
      <c r="H24" s="25" t="n">
        <f aca="false">F24*12</f>
        <v>87360000</v>
      </c>
      <c r="I24" s="25" t="n">
        <f aca="false">E24*12</f>
        <v>3793971.072</v>
      </c>
    </row>
    <row r="25" customFormat="false" ht="15" hidden="false" customHeight="true" outlineLevel="0" collapsed="false">
      <c r="A25" s="39" t="s">
        <v>134</v>
      </c>
      <c r="B25" s="15" t="n">
        <f aca="false">$B$7</f>
        <v>7280000</v>
      </c>
      <c r="C25" s="15" t="n">
        <f aca="false">B25*$B$9</f>
        <v>364000000</v>
      </c>
      <c r="D25" s="15" t="n">
        <f aca="false">CEILING(C25/$B$13,1)</f>
        <v>19</v>
      </c>
      <c r="E25" s="25" t="n">
        <f aca="false">D25*$B$12</f>
        <v>316164.256</v>
      </c>
      <c r="F25" s="25" t="n">
        <f aca="false">B25*$B$8</f>
        <v>7280000</v>
      </c>
      <c r="G25" s="40" t="n">
        <f aca="false">F25/E25</f>
        <v>23.0260058240107</v>
      </c>
      <c r="H25" s="25" t="n">
        <f aca="false">F25*12</f>
        <v>87360000</v>
      </c>
      <c r="I25" s="25" t="n">
        <f aca="false">E25*12</f>
        <v>3793971.072</v>
      </c>
    </row>
    <row r="26" customFormat="false" ht="15" hidden="false" customHeight="true" outlineLevel="0" collapsed="false">
      <c r="A26" s="39" t="s">
        <v>135</v>
      </c>
      <c r="B26" s="15" t="n">
        <f aca="false">$B$7</f>
        <v>7280000</v>
      </c>
      <c r="C26" s="15" t="n">
        <f aca="false">B26*$B$9</f>
        <v>364000000</v>
      </c>
      <c r="D26" s="15" t="n">
        <f aca="false">CEILING(C26/$B$13,1)</f>
        <v>19</v>
      </c>
      <c r="E26" s="25" t="n">
        <f aca="false">D26*$B$12</f>
        <v>316164.256</v>
      </c>
      <c r="F26" s="25" t="n">
        <f aca="false">B26*$B$8</f>
        <v>7280000</v>
      </c>
      <c r="G26" s="40" t="n">
        <f aca="false">F26/E26</f>
        <v>23.0260058240107</v>
      </c>
      <c r="H26" s="25" t="n">
        <f aca="false">F26*12</f>
        <v>87360000</v>
      </c>
      <c r="I26" s="25" t="n">
        <f aca="false">E26*12</f>
        <v>3793971.072</v>
      </c>
    </row>
    <row r="27" customFormat="false" ht="15" hidden="false" customHeight="true" outlineLevel="0" collapsed="false">
      <c r="A27" s="39" t="s">
        <v>136</v>
      </c>
      <c r="B27" s="15" t="n">
        <f aca="false">$B$7</f>
        <v>7280000</v>
      </c>
      <c r="C27" s="15" t="n">
        <f aca="false">B27*$B$9</f>
        <v>364000000</v>
      </c>
      <c r="D27" s="15" t="n">
        <f aca="false">CEILING(C27/$B$13,1)</f>
        <v>19</v>
      </c>
      <c r="E27" s="25" t="n">
        <f aca="false">D27*$B$12</f>
        <v>316164.256</v>
      </c>
      <c r="F27" s="25" t="n">
        <f aca="false">B27*$B$8</f>
        <v>7280000</v>
      </c>
      <c r="G27" s="40" t="n">
        <f aca="false">F27/E27</f>
        <v>23.0260058240107</v>
      </c>
      <c r="H27" s="25" t="n">
        <f aca="false">F27*12</f>
        <v>87360000</v>
      </c>
      <c r="I27" s="25" t="n">
        <f aca="false">E27*12</f>
        <v>3793971.072</v>
      </c>
    </row>
    <row r="28" customFormat="false" ht="15" hidden="false" customHeight="true" outlineLevel="0" collapsed="false">
      <c r="A28" s="39" t="s">
        <v>137</v>
      </c>
      <c r="B28" s="15" t="n">
        <f aca="false">$B$7</f>
        <v>7280000</v>
      </c>
      <c r="C28" s="15" t="n">
        <f aca="false">B28*$B$9</f>
        <v>364000000</v>
      </c>
      <c r="D28" s="15" t="n">
        <f aca="false">CEILING(C28/$B$13,1)</f>
        <v>19</v>
      </c>
      <c r="E28" s="25" t="n">
        <f aca="false">D28*$B$12</f>
        <v>316164.256</v>
      </c>
      <c r="F28" s="25" t="n">
        <f aca="false">B28*$B$8</f>
        <v>7280000</v>
      </c>
      <c r="G28" s="40" t="n">
        <f aca="false">F28/E28</f>
        <v>23.0260058240107</v>
      </c>
      <c r="H28" s="25" t="n">
        <f aca="false">F28*12</f>
        <v>87360000</v>
      </c>
      <c r="I28" s="25" t="n">
        <f aca="false">E28*12</f>
        <v>3793971.072</v>
      </c>
    </row>
    <row r="29" customFormat="false" ht="15" hidden="false" customHeight="true" outlineLevel="0" collapsed="false">
      <c r="A29" s="26" t="s">
        <v>138</v>
      </c>
      <c r="H29" s="27" t="n">
        <f aca="false">SUM(H19:H28)</f>
        <v>621216960</v>
      </c>
      <c r="I29" s="27" t="n">
        <f aca="false">SUM(I19:I28)</f>
        <v>27356528.256</v>
      </c>
    </row>
  </sheetData>
  <mergeCells count="3">
    <mergeCell ref="A1:I1"/>
    <mergeCell ref="A2:I2"/>
    <mergeCell ref="A4: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2"/>
  </cols>
  <sheetData>
    <row r="1" customFormat="false" ht="24" hidden="false" customHeight="true" outlineLevel="0" collapsed="false">
      <c r="A1" s="2" t="s">
        <v>139</v>
      </c>
      <c r="B1" s="2"/>
      <c r="C1" s="2"/>
      <c r="D1" s="2"/>
    </row>
    <row r="2" customFormat="false" ht="15" hidden="false" customHeight="true" outlineLevel="0" collapsed="false">
      <c r="A2" s="3" t="s">
        <v>140</v>
      </c>
      <c r="B2" s="3"/>
      <c r="C2" s="3"/>
      <c r="D2" s="3"/>
    </row>
    <row r="4" customFormat="false" ht="15" hidden="false" customHeight="true" outlineLevel="0" collapsed="false">
      <c r="A4" s="8" t="s">
        <v>97</v>
      </c>
      <c r="B4" s="8"/>
      <c r="C4" s="8"/>
      <c r="D4" s="8"/>
    </row>
    <row r="5" customFormat="false" ht="15" hidden="false" customHeight="true" outlineLevel="0" collapsed="false">
      <c r="A5" s="9" t="s">
        <v>141</v>
      </c>
      <c r="B5" s="19" t="n">
        <v>10</v>
      </c>
    </row>
    <row r="6" customFormat="false" ht="15" hidden="false" customHeight="true" outlineLevel="0" collapsed="false">
      <c r="A6" s="9" t="s">
        <v>142</v>
      </c>
      <c r="B6" s="19" t="n">
        <v>1000000</v>
      </c>
    </row>
    <row r="7" customFormat="false" ht="15" hidden="false" customHeight="true" outlineLevel="0" collapsed="false">
      <c r="A7" s="9" t="s">
        <v>143</v>
      </c>
      <c r="B7" s="19" t="n">
        <v>10</v>
      </c>
    </row>
    <row r="8" customFormat="false" ht="15" hidden="false" customHeight="true" outlineLevel="0" collapsed="false">
      <c r="A8" s="9" t="s">
        <v>144</v>
      </c>
      <c r="B8" s="15" t="n">
        <f aca="false">B5*B6*B7</f>
        <v>100000000</v>
      </c>
    </row>
    <row r="9" customFormat="false" ht="15" hidden="false" customHeight="true" outlineLevel="0" collapsed="false">
      <c r="A9" s="9" t="s">
        <v>145</v>
      </c>
      <c r="B9" s="33" t="n">
        <f aca="false">Assumptions!$B$30</f>
        <v>0.0003</v>
      </c>
    </row>
    <row r="10" customFormat="false" ht="15" hidden="false" customHeight="true" outlineLevel="0" collapsed="false">
      <c r="A10" s="9" t="s">
        <v>100</v>
      </c>
      <c r="B10" s="38" t="n">
        <f aca="false">'Rent Cost Model'!$D$11</f>
        <v>4160.056</v>
      </c>
    </row>
    <row r="11" customFormat="false" ht="15" hidden="false" customHeight="true" outlineLevel="0" collapsed="false">
      <c r="A11" s="9" t="s">
        <v>102</v>
      </c>
      <c r="B11" s="23" t="n">
        <f aca="false">Assumptions!$B$19</f>
        <v>30000000</v>
      </c>
    </row>
    <row r="12" customFormat="false" ht="15" hidden="false" customHeight="true" outlineLevel="0" collapsed="false">
      <c r="A12" s="9" t="s">
        <v>146</v>
      </c>
      <c r="B12" s="15" t="n">
        <f aca="false">CEILING(B8/B11,1)</f>
        <v>4</v>
      </c>
    </row>
    <row r="13" customFormat="false" ht="15" hidden="false" customHeight="true" outlineLevel="0" collapsed="false">
      <c r="A13" s="9" t="s">
        <v>147</v>
      </c>
      <c r="B13" s="25" t="n">
        <f aca="false">B12*B10</f>
        <v>16640.224</v>
      </c>
    </row>
    <row r="14" customFormat="false" ht="15" hidden="false" customHeight="true" outlineLevel="0" collapsed="false">
      <c r="A14" s="9" t="s">
        <v>148</v>
      </c>
      <c r="B14" s="36" t="n">
        <f aca="false">B13/B8</f>
        <v>0.00016640224</v>
      </c>
    </row>
    <row r="16" customFormat="false" ht="15" hidden="false" customHeight="true" outlineLevel="0" collapsed="false">
      <c r="A16" s="8" t="s">
        <v>149</v>
      </c>
      <c r="B16" s="8"/>
      <c r="C16" s="8"/>
      <c r="D16" s="8"/>
    </row>
    <row r="17" customFormat="false" ht="27.75" hidden="false" customHeight="true" outlineLevel="0" collapsed="false">
      <c r="A17" s="22" t="s">
        <v>150</v>
      </c>
      <c r="B17" s="22" t="s">
        <v>111</v>
      </c>
      <c r="C17" s="22" t="s">
        <v>110</v>
      </c>
      <c r="D17" s="22" t="s">
        <v>112</v>
      </c>
    </row>
    <row r="18" customFormat="false" ht="15" hidden="false" customHeight="true" outlineLevel="0" collapsed="false">
      <c r="A18" s="18" t="n">
        <v>0.0001</v>
      </c>
      <c r="B18" s="25" t="n">
        <f aca="false">$B$8*A18</f>
        <v>10000</v>
      </c>
      <c r="C18" s="25" t="n">
        <f aca="false">$B$13</f>
        <v>16640.224</v>
      </c>
      <c r="D18" s="40" t="n">
        <f aca="false">B18/C18</f>
        <v>0.600953448703575</v>
      </c>
    </row>
    <row r="19" customFormat="false" ht="15" hidden="false" customHeight="true" outlineLevel="0" collapsed="false">
      <c r="A19" s="18" t="n">
        <v>0.000166</v>
      </c>
      <c r="B19" s="25" t="n">
        <f aca="false">$B$8*A19</f>
        <v>16600</v>
      </c>
      <c r="C19" s="25" t="n">
        <f aca="false">$B$13</f>
        <v>16640.224</v>
      </c>
      <c r="D19" s="40" t="n">
        <f aca="false">B19/C19</f>
        <v>0.997582724847935</v>
      </c>
    </row>
    <row r="20" customFormat="false" ht="15" hidden="false" customHeight="true" outlineLevel="0" collapsed="false">
      <c r="A20" s="18" t="n">
        <v>0.0003</v>
      </c>
      <c r="B20" s="25" t="n">
        <f aca="false">$B$8*A20</f>
        <v>30000</v>
      </c>
      <c r="C20" s="25" t="n">
        <f aca="false">$B$13</f>
        <v>16640.224</v>
      </c>
      <c r="D20" s="40" t="n">
        <f aca="false">B20/C20</f>
        <v>1.80286034611073</v>
      </c>
    </row>
    <row r="21" customFormat="false" ht="15" hidden="false" customHeight="true" outlineLevel="0" collapsed="false">
      <c r="A21" s="18" t="n">
        <v>0.001</v>
      </c>
      <c r="B21" s="25" t="n">
        <f aca="false">$B$8*A21</f>
        <v>100000</v>
      </c>
      <c r="C21" s="25" t="n">
        <f aca="false">$B$13</f>
        <v>16640.224</v>
      </c>
      <c r="D21" s="40" t="n">
        <f aca="false">B21/C21</f>
        <v>6.00953448703575</v>
      </c>
    </row>
    <row r="23" customFormat="false" ht="15" hidden="false" customHeight="true" outlineLevel="0" collapsed="false">
      <c r="A23" s="8" t="s">
        <v>151</v>
      </c>
      <c r="B23" s="8"/>
      <c r="C23" s="8"/>
      <c r="D23" s="8"/>
    </row>
    <row r="24" customFormat="false" ht="15" hidden="false" customHeight="true" outlineLevel="0" collapsed="false">
      <c r="A24" s="9" t="s">
        <v>152</v>
      </c>
      <c r="B24" s="19" t="n">
        <v>100</v>
      </c>
    </row>
    <row r="25" customFormat="false" ht="15" hidden="false" customHeight="true" outlineLevel="0" collapsed="false">
      <c r="A25" s="9" t="s">
        <v>153</v>
      </c>
      <c r="B25" s="15" t="n">
        <f aca="false">B8/B24</f>
        <v>1000000</v>
      </c>
    </row>
    <row r="26" customFormat="false" ht="15" hidden="false" customHeight="true" outlineLevel="0" collapsed="false">
      <c r="A26" s="9" t="s">
        <v>154</v>
      </c>
      <c r="B26" s="15" t="n">
        <f aca="false">CEILING(B25/B11,1)</f>
        <v>1</v>
      </c>
    </row>
    <row r="27" customFormat="false" ht="15" hidden="false" customHeight="true" outlineLevel="0" collapsed="false">
      <c r="A27" s="9" t="s">
        <v>155</v>
      </c>
      <c r="B27" s="25" t="n">
        <f aca="false">B26*B10</f>
        <v>4160.056</v>
      </c>
    </row>
    <row r="28" customFormat="false" ht="15" hidden="false" customHeight="true" outlineLevel="0" collapsed="false">
      <c r="A28" s="9" t="s">
        <v>156</v>
      </c>
      <c r="B28" s="12" t="n">
        <v>0.03</v>
      </c>
    </row>
    <row r="29" customFormat="false" ht="15" hidden="false" customHeight="true" outlineLevel="0" collapsed="false">
      <c r="A29" s="9" t="s">
        <v>157</v>
      </c>
      <c r="B29" s="25" t="n">
        <f aca="false">B25*B28</f>
        <v>30000</v>
      </c>
    </row>
    <row r="30" customFormat="false" ht="15" hidden="false" customHeight="true" outlineLevel="0" collapsed="false">
      <c r="A30" s="9" t="s">
        <v>158</v>
      </c>
      <c r="B30" s="40" t="n">
        <f aca="false">B29/B27</f>
        <v>7.2114413844429</v>
      </c>
    </row>
  </sheetData>
  <mergeCells count="5">
    <mergeCell ref="A1:D1"/>
    <mergeCell ref="A2:D2"/>
    <mergeCell ref="A4:D4"/>
    <mergeCell ref="A16:D16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8"/>
    <col collapsed="false" customWidth="true" hidden="false" outlineLevel="0" max="4" min="4" style="1" width="10"/>
    <col collapsed="false" customWidth="true" hidden="false" outlineLevel="0" max="6" min="5" style="1" width="18"/>
    <col collapsed="false" customWidth="true" hidden="false" outlineLevel="0" max="7" min="7" style="1" width="16"/>
    <col collapsed="false" customWidth="true" hidden="false" outlineLevel="0" max="8" min="8" style="1" width="20"/>
  </cols>
  <sheetData>
    <row r="1" customFormat="false" ht="24" hidden="false" customHeight="true" outlineLevel="0" collapsed="false">
      <c r="A1" s="2" t="s">
        <v>159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160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8" t="s">
        <v>97</v>
      </c>
      <c r="B4" s="8"/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9" t="s">
        <v>161</v>
      </c>
      <c r="B5" s="33" t="n">
        <f aca="false">'Rent Cost Model'!$D$13</f>
        <v>0.000138668533333333</v>
      </c>
    </row>
    <row r="6" customFormat="false" ht="15" hidden="false" customHeight="true" outlineLevel="0" collapsed="false">
      <c r="A6" s="9" t="s">
        <v>162</v>
      </c>
      <c r="B6" s="41" t="n">
        <f aca="false">Assumptions!$B$24</f>
        <v>3</v>
      </c>
    </row>
    <row r="7" customFormat="false" ht="15" hidden="false" customHeight="true" outlineLevel="0" collapsed="false">
      <c r="A7" s="9" t="s">
        <v>163</v>
      </c>
      <c r="B7" s="24" t="n">
        <f aca="false">Assumptions!$B$25</f>
        <v>0.003</v>
      </c>
    </row>
    <row r="8" customFormat="false" ht="15" hidden="false" customHeight="true" outlineLevel="0" collapsed="false">
      <c r="A8" s="9" t="s">
        <v>164</v>
      </c>
      <c r="B8" s="42" t="n">
        <f aca="false">B7/B5</f>
        <v>21.6343241533287</v>
      </c>
    </row>
    <row r="9" customFormat="false" ht="15" hidden="false" customHeight="true" outlineLevel="0" collapsed="false">
      <c r="A9" s="9" t="s">
        <v>102</v>
      </c>
      <c r="B9" s="23" t="n">
        <f aca="false">Assumptions!$B$19</f>
        <v>30000000</v>
      </c>
    </row>
    <row r="10" customFormat="false" ht="15" hidden="false" customHeight="true" outlineLevel="0" collapsed="false">
      <c r="A10" s="9" t="s">
        <v>100</v>
      </c>
      <c r="B10" s="38" t="n">
        <f aca="false">'Rent Cost Model'!$D$11</f>
        <v>4160.056</v>
      </c>
    </row>
    <row r="12" customFormat="false" ht="27.75" hidden="false" customHeight="true" outlineLevel="0" collapsed="false">
      <c r="A12" s="22" t="s">
        <v>165</v>
      </c>
      <c r="B12" s="22" t="s">
        <v>166</v>
      </c>
      <c r="C12" s="22" t="s">
        <v>167</v>
      </c>
      <c r="D12" s="22" t="s">
        <v>109</v>
      </c>
      <c r="E12" s="22" t="s">
        <v>168</v>
      </c>
      <c r="F12" s="22" t="s">
        <v>169</v>
      </c>
      <c r="G12" s="22" t="s">
        <v>170</v>
      </c>
      <c r="H12" s="22" t="s">
        <v>171</v>
      </c>
    </row>
    <row r="13" customFormat="false" ht="15" hidden="false" customHeight="true" outlineLevel="0" collapsed="false">
      <c r="A13" s="9" t="s">
        <v>172</v>
      </c>
      <c r="B13" s="19" t="n">
        <v>1800000000</v>
      </c>
      <c r="C13" s="19" t="n">
        <v>3600000000000</v>
      </c>
      <c r="D13" s="15" t="n">
        <f aca="false">CEILING(C13/$B$9,1)</f>
        <v>120000</v>
      </c>
      <c r="E13" s="25" t="n">
        <f aca="false">D13*$B$10</f>
        <v>499206720</v>
      </c>
      <c r="F13" s="15" t="n">
        <f aca="false">C13/B13</f>
        <v>2000</v>
      </c>
      <c r="G13" s="17" t="n">
        <f aca="false">F13*$B$5</f>
        <v>0.277337066666667</v>
      </c>
      <c r="H13" s="42" t="n">
        <f aca="false">(G13/$B$7)/30</f>
        <v>3.08152296296296</v>
      </c>
    </row>
    <row r="14" customFormat="false" ht="15" hidden="false" customHeight="true" outlineLevel="0" collapsed="false">
      <c r="A14" s="9" t="s">
        <v>173</v>
      </c>
      <c r="B14" s="19" t="n">
        <v>2000000000</v>
      </c>
      <c r="C14" s="19" t="n">
        <v>3000000000000</v>
      </c>
      <c r="D14" s="15" t="n">
        <f aca="false">CEILING(C14/$B$9,1)</f>
        <v>100000</v>
      </c>
      <c r="E14" s="25" t="n">
        <f aca="false">D14*$B$10</f>
        <v>416005600</v>
      </c>
      <c r="F14" s="15" t="n">
        <f aca="false">C14/B14</f>
        <v>1500</v>
      </c>
      <c r="G14" s="17" t="n">
        <f aca="false">F14*$B$5</f>
        <v>0.2080028</v>
      </c>
      <c r="H14" s="42" t="n">
        <f aca="false">(G14/$B$7)/30</f>
        <v>2.31114222222222</v>
      </c>
    </row>
    <row r="15" customFormat="false" ht="15" hidden="false" customHeight="true" outlineLevel="0" collapsed="false">
      <c r="A15" s="9" t="s">
        <v>174</v>
      </c>
      <c r="B15" s="19" t="n">
        <v>3000000000</v>
      </c>
      <c r="C15" s="19" t="n">
        <v>600000000000</v>
      </c>
      <c r="D15" s="15" t="n">
        <f aca="false">CEILING(C15/$B$9,1)</f>
        <v>20000</v>
      </c>
      <c r="E15" s="25" t="n">
        <f aca="false">D15*$B$10</f>
        <v>83201120</v>
      </c>
      <c r="F15" s="15" t="n">
        <f aca="false">C15/B15</f>
        <v>200</v>
      </c>
      <c r="G15" s="17" t="n">
        <f aca="false">F15*$B$5</f>
        <v>0.0277337066666667</v>
      </c>
      <c r="H15" s="42" t="n">
        <f aca="false">(G15/$B$7)/30</f>
        <v>0.308152296296296</v>
      </c>
    </row>
    <row r="17" customFormat="false" ht="15" hidden="false" customHeight="true" outlineLevel="0" collapsed="false">
      <c r="A17" s="8" t="s">
        <v>175</v>
      </c>
      <c r="B17" s="8"/>
      <c r="C17" s="8"/>
      <c r="D17" s="8"/>
      <c r="E17" s="8"/>
      <c r="F17" s="8"/>
      <c r="G17" s="8"/>
      <c r="H17" s="8"/>
    </row>
    <row r="18" customFormat="false" ht="15" hidden="false" customHeight="true" outlineLevel="0" collapsed="false">
      <c r="A18" s="9" t="s">
        <v>176</v>
      </c>
      <c r="B18" s="13" t="n">
        <v>0.01</v>
      </c>
    </row>
    <row r="19" customFormat="false" ht="15" hidden="false" customHeight="true" outlineLevel="0" collapsed="false">
      <c r="A19" s="9" t="s">
        <v>177</v>
      </c>
      <c r="B19" s="15" t="n">
        <f aca="false">B13*B18</f>
        <v>18000000</v>
      </c>
    </row>
    <row r="20" customFormat="false" ht="15" hidden="false" customHeight="true" outlineLevel="0" collapsed="false">
      <c r="A20" s="9" t="s">
        <v>178</v>
      </c>
      <c r="B20" s="15" t="n">
        <f aca="false">C13*B18</f>
        <v>36000000000</v>
      </c>
    </row>
    <row r="21" customFormat="false" ht="15" hidden="false" customHeight="true" outlineLevel="0" collapsed="false">
      <c r="A21" s="9" t="s">
        <v>179</v>
      </c>
      <c r="B21" s="15" t="n">
        <f aca="false">CEILING(B20/B9,1)</f>
        <v>1200</v>
      </c>
    </row>
    <row r="22" customFormat="false" ht="15" hidden="false" customHeight="true" outlineLevel="0" collapsed="false">
      <c r="A22" s="9" t="s">
        <v>180</v>
      </c>
      <c r="B22" s="25" t="n">
        <f aca="false">B21*B10</f>
        <v>4992067.2</v>
      </c>
    </row>
    <row r="23" customFormat="false" ht="15" hidden="false" customHeight="true" outlineLevel="0" collapsed="false">
      <c r="A23" s="9" t="s">
        <v>181</v>
      </c>
      <c r="B23" s="18" t="n">
        <v>2E-005</v>
      </c>
    </row>
    <row r="24" customFormat="false" ht="15" hidden="false" customHeight="true" outlineLevel="0" collapsed="false">
      <c r="A24" s="9" t="s">
        <v>182</v>
      </c>
      <c r="B24" s="25" t="n">
        <f aca="false">C13*B23</f>
        <v>72000000</v>
      </c>
    </row>
  </sheetData>
  <mergeCells count="4">
    <mergeCell ref="A1:H1"/>
    <mergeCell ref="A2:H2"/>
    <mergeCell ref="A4:H4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22"/>
    <col collapsed="false" customWidth="true" hidden="false" outlineLevel="0" max="8" min="7" style="1" width="16"/>
  </cols>
  <sheetData>
    <row r="1" customFormat="false" ht="24" hidden="false" customHeight="true" outlineLevel="0" collapsed="false">
      <c r="A1" s="2" t="s">
        <v>183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184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8" t="s">
        <v>185</v>
      </c>
      <c r="B4" s="8"/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9" t="s">
        <v>186</v>
      </c>
      <c r="B5" s="43" t="n">
        <v>50</v>
      </c>
    </row>
    <row r="6" customFormat="false" ht="15" hidden="false" customHeight="true" outlineLevel="0" collapsed="false">
      <c r="A6" s="9" t="s">
        <v>187</v>
      </c>
      <c r="B6" s="43" t="n">
        <v>19</v>
      </c>
    </row>
    <row r="7" customFormat="false" ht="15" hidden="false" customHeight="true" outlineLevel="0" collapsed="false">
      <c r="A7" s="9" t="s">
        <v>188</v>
      </c>
      <c r="B7" s="19" t="n">
        <v>4</v>
      </c>
    </row>
    <row r="9" customFormat="false" ht="27.75" hidden="false" customHeight="true" outlineLevel="0" collapsed="false">
      <c r="A9" s="22" t="s">
        <v>189</v>
      </c>
      <c r="B9" s="22" t="s">
        <v>190</v>
      </c>
      <c r="C9" s="22" t="s">
        <v>191</v>
      </c>
      <c r="D9" s="22" t="s">
        <v>192</v>
      </c>
      <c r="E9" s="22" t="s">
        <v>193</v>
      </c>
      <c r="F9" s="22" t="s">
        <v>194</v>
      </c>
      <c r="G9" s="22" t="s">
        <v>195</v>
      </c>
      <c r="H9" s="22" t="s">
        <v>196</v>
      </c>
    </row>
    <row r="10" customFormat="false" ht="15" hidden="false" customHeight="true" outlineLevel="0" collapsed="false">
      <c r="A10" s="9" t="s">
        <v>197</v>
      </c>
      <c r="B10" s="43" t="n">
        <v>2000</v>
      </c>
      <c r="C10" s="19" t="n">
        <v>1000000</v>
      </c>
      <c r="D10" s="13" t="n">
        <v>0.1</v>
      </c>
      <c r="E10" s="15" t="n">
        <f aca="false">C10*D10</f>
        <v>100000</v>
      </c>
      <c r="F10" s="17" t="n">
        <f aca="false">B10/E10</f>
        <v>0.02</v>
      </c>
      <c r="G10" s="40" t="n">
        <f aca="false">$B$6/F10</f>
        <v>950</v>
      </c>
      <c r="H10" s="40" t="n">
        <f aca="false">$B$5/F10</f>
        <v>2500</v>
      </c>
    </row>
    <row r="11" customFormat="false" ht="15" hidden="false" customHeight="true" outlineLevel="0" collapsed="false">
      <c r="A11" s="9" t="s">
        <v>198</v>
      </c>
      <c r="B11" s="43" t="n">
        <v>5000</v>
      </c>
      <c r="C11" s="19" t="n">
        <v>1000000</v>
      </c>
      <c r="D11" s="13" t="n">
        <v>0.05</v>
      </c>
      <c r="E11" s="15" t="n">
        <f aca="false">C11*D11</f>
        <v>50000</v>
      </c>
      <c r="F11" s="17" t="n">
        <f aca="false">B11/E11</f>
        <v>0.1</v>
      </c>
      <c r="G11" s="40" t="n">
        <f aca="false">$B$6/F11</f>
        <v>190</v>
      </c>
      <c r="H11" s="40" t="n">
        <f aca="false">$B$5/F11</f>
        <v>500</v>
      </c>
    </row>
    <row r="12" customFormat="false" ht="15" hidden="false" customHeight="true" outlineLevel="0" collapsed="false">
      <c r="A12" s="9" t="s">
        <v>199</v>
      </c>
      <c r="B12" s="43" t="n">
        <v>10000</v>
      </c>
      <c r="C12" s="19" t="n">
        <v>1000000</v>
      </c>
      <c r="D12" s="13" t="n">
        <v>0.01</v>
      </c>
      <c r="E12" s="15" t="n">
        <f aca="false">C12*D12</f>
        <v>10000</v>
      </c>
      <c r="F12" s="17" t="n">
        <f aca="false">B12/E12</f>
        <v>1</v>
      </c>
      <c r="G12" s="40" t="n">
        <f aca="false">$B$6/F12</f>
        <v>19</v>
      </c>
      <c r="H12" s="40" t="n">
        <f aca="false">$B$5/F12</f>
        <v>50</v>
      </c>
    </row>
    <row r="13" customFormat="false" ht="15" hidden="false" customHeight="true" outlineLevel="0" collapsed="false">
      <c r="A13" s="9" t="s">
        <v>200</v>
      </c>
      <c r="B13" s="43" t="n">
        <v>500000</v>
      </c>
      <c r="C13" s="19" t="n">
        <v>1000000</v>
      </c>
      <c r="D13" s="13" t="n">
        <v>1</v>
      </c>
      <c r="E13" s="15" t="n">
        <f aca="false">C13*D13</f>
        <v>1000000</v>
      </c>
      <c r="F13" s="17" t="n">
        <f aca="false">B13/E13</f>
        <v>0.5</v>
      </c>
      <c r="G13" s="40" t="n">
        <f aca="false">$B$6/F13</f>
        <v>38</v>
      </c>
      <c r="H13" s="40" t="n">
        <f aca="false">$B$5/F13</f>
        <v>100</v>
      </c>
    </row>
    <row r="14" customFormat="false" ht="15" hidden="false" customHeight="true" outlineLevel="0" collapsed="false">
      <c r="A14" s="9" t="s">
        <v>201</v>
      </c>
      <c r="B14" s="43" t="n">
        <v>5000000</v>
      </c>
      <c r="C14" s="19" t="n">
        <v>9100000</v>
      </c>
      <c r="D14" s="13" t="n">
        <v>0.8</v>
      </c>
      <c r="E14" s="15" t="n">
        <f aca="false">C14*D14</f>
        <v>7280000</v>
      </c>
      <c r="F14" s="17" t="n">
        <f aca="false">B14/E14</f>
        <v>0.686813186813187</v>
      </c>
      <c r="G14" s="40" t="n">
        <f aca="false">$B$6/F14</f>
        <v>27.664</v>
      </c>
      <c r="H14" s="40" t="n">
        <f aca="false">$B$5/F14</f>
        <v>72.8</v>
      </c>
    </row>
    <row r="15" customFormat="false" ht="15" hidden="false" customHeight="true" outlineLevel="0" collapsed="false">
      <c r="A15" s="9" t="s">
        <v>202</v>
      </c>
      <c r="B15" s="43" t="n">
        <v>20000000</v>
      </c>
      <c r="C15" s="19" t="n">
        <v>9100000</v>
      </c>
      <c r="D15" s="13" t="n">
        <v>0.8</v>
      </c>
      <c r="E15" s="15" t="n">
        <f aca="false">C15*D15</f>
        <v>7280000</v>
      </c>
      <c r="F15" s="17" t="n">
        <f aca="false">B15/E15</f>
        <v>2.74725274725275</v>
      </c>
      <c r="G15" s="40" t="n">
        <f aca="false">$B$6/F15</f>
        <v>6.916</v>
      </c>
      <c r="H15" s="40" t="n">
        <f aca="false">$B$5/F15</f>
        <v>18.2</v>
      </c>
    </row>
    <row r="17" customFormat="false" ht="15" hidden="false" customHeight="true" outlineLevel="0" collapsed="false">
      <c r="A17" s="8" t="s">
        <v>203</v>
      </c>
      <c r="B17" s="8"/>
      <c r="C17" s="8"/>
      <c r="D17" s="8"/>
      <c r="E17" s="8"/>
      <c r="F17" s="8"/>
      <c r="G17" s="8"/>
      <c r="H17" s="8"/>
    </row>
    <row r="18" customFormat="false" ht="27.75" hidden="false" customHeight="true" outlineLevel="0" collapsed="false">
      <c r="A18" s="22" t="s">
        <v>204</v>
      </c>
      <c r="B18" s="22" t="s">
        <v>194</v>
      </c>
      <c r="C18" s="22" t="s">
        <v>205</v>
      </c>
      <c r="D18" s="22" t="s">
        <v>206</v>
      </c>
      <c r="E18" s="22" t="s">
        <v>207</v>
      </c>
      <c r="F18" s="22" t="s">
        <v>208</v>
      </c>
    </row>
    <row r="19" customFormat="false" ht="15" hidden="false" customHeight="true" outlineLevel="0" collapsed="false">
      <c r="A19" s="9" t="s">
        <v>209</v>
      </c>
      <c r="B19" s="17" t="n">
        <f aca="false">F12</f>
        <v>1</v>
      </c>
      <c r="C19" s="24" t="n">
        <f aca="false">Music!$B$7*Music!$B$9</f>
        <v>0.003</v>
      </c>
      <c r="D19" s="15" t="n">
        <f aca="false">B19/C19</f>
        <v>333.333333333333</v>
      </c>
      <c r="E19" s="17" t="n">
        <f aca="false">B19/$B$7</f>
        <v>0.25</v>
      </c>
      <c r="F19" s="15" t="n">
        <f aca="false">B19/(C19*$B$7)</f>
        <v>83.3333333333333</v>
      </c>
    </row>
    <row r="20" customFormat="false" ht="15" hidden="false" customHeight="true" outlineLevel="0" collapsed="false">
      <c r="A20" s="9" t="s">
        <v>210</v>
      </c>
      <c r="B20" s="17" t="n">
        <f aca="false">F14</f>
        <v>0.686813186813187</v>
      </c>
      <c r="C20" s="41" t="n">
        <f aca="false">Assumptions!$B$31</f>
        <v>1</v>
      </c>
      <c r="D20" s="42" t="n">
        <f aca="false">B20/C20</f>
        <v>0.686813186813187</v>
      </c>
      <c r="E20" s="17" t="n">
        <f aca="false">B20/$B$7</f>
        <v>0.171703296703297</v>
      </c>
      <c r="F20" s="42" t="n">
        <f aca="false">B20/(C20*$B$7)</f>
        <v>0.171703296703297</v>
      </c>
    </row>
    <row r="22" customFormat="false" ht="15" hidden="false" customHeight="true" outlineLevel="0" collapsed="false">
      <c r="A22" s="44" t="s">
        <v>211</v>
      </c>
      <c r="B22" s="44"/>
      <c r="C22" s="44"/>
      <c r="D22" s="44"/>
      <c r="E22" s="44"/>
      <c r="F22" s="44"/>
      <c r="G22" s="44"/>
      <c r="H22" s="44"/>
    </row>
  </sheetData>
  <mergeCells count="5">
    <mergeCell ref="A1:H1"/>
    <mergeCell ref="A2:H2"/>
    <mergeCell ref="A4:H4"/>
    <mergeCell ref="A17:H17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4"/>
  </cols>
  <sheetData>
    <row r="1" customFormat="false" ht="24" hidden="false" customHeight="true" outlineLevel="0" collapsed="false">
      <c r="A1" s="2" t="s">
        <v>212</v>
      </c>
      <c r="B1" s="2"/>
      <c r="C1" s="2"/>
      <c r="D1" s="2"/>
    </row>
    <row r="2" customFormat="false" ht="15" hidden="false" customHeight="true" outlineLevel="0" collapsed="false">
      <c r="A2" s="3" t="s">
        <v>213</v>
      </c>
      <c r="B2" s="3"/>
      <c r="C2" s="3"/>
      <c r="D2" s="3"/>
    </row>
    <row r="4" customFormat="false" ht="15" hidden="false" customHeight="true" outlineLevel="0" collapsed="false">
      <c r="A4" s="8" t="s">
        <v>97</v>
      </c>
      <c r="B4" s="8"/>
      <c r="C4" s="8"/>
      <c r="D4" s="8"/>
    </row>
    <row r="5" customFormat="false" ht="15" hidden="false" customHeight="true" outlineLevel="0" collapsed="false">
      <c r="A5" s="9" t="s">
        <v>214</v>
      </c>
      <c r="B5" s="12" t="n">
        <v>0.005</v>
      </c>
    </row>
    <row r="6" customFormat="false" ht="15" hidden="false" customHeight="true" outlineLevel="0" collapsed="false">
      <c r="A6" s="9" t="s">
        <v>215</v>
      </c>
      <c r="B6" s="13" t="n">
        <v>0.2</v>
      </c>
    </row>
    <row r="7" customFormat="false" ht="15" hidden="false" customHeight="true" outlineLevel="0" collapsed="false">
      <c r="A7" s="9" t="s">
        <v>216</v>
      </c>
      <c r="B7" s="18" t="n">
        <v>0.0005</v>
      </c>
    </row>
    <row r="8" customFormat="false" ht="15" hidden="false" customHeight="true" outlineLevel="0" collapsed="false">
      <c r="A8" s="9" t="s">
        <v>217</v>
      </c>
      <c r="B8" s="13" t="n">
        <v>0.05</v>
      </c>
    </row>
    <row r="9" customFormat="false" ht="15" hidden="false" customHeight="true" outlineLevel="0" collapsed="false">
      <c r="A9" s="9" t="s">
        <v>102</v>
      </c>
      <c r="B9" s="23" t="n">
        <f aca="false">Assumptions!$B$19</f>
        <v>30000000</v>
      </c>
    </row>
    <row r="10" customFormat="false" ht="15" hidden="false" customHeight="true" outlineLevel="0" collapsed="false">
      <c r="A10" s="9" t="s">
        <v>100</v>
      </c>
      <c r="B10" s="38" t="n">
        <f aca="false">'Rent Cost Model'!$D$11</f>
        <v>4160.056</v>
      </c>
    </row>
    <row r="12" customFormat="false" ht="15" hidden="false" customHeight="true" outlineLevel="0" collapsed="false">
      <c r="A12" s="8" t="s">
        <v>218</v>
      </c>
      <c r="B12" s="8"/>
      <c r="C12" s="8"/>
      <c r="D12" s="8"/>
    </row>
    <row r="13" customFormat="false" ht="15" hidden="false" customHeight="true" outlineLevel="0" collapsed="false">
      <c r="A13" s="9" t="s">
        <v>219</v>
      </c>
      <c r="B13" s="23" t="n">
        <f aca="false">AI!$C$19</f>
        <v>10000000000</v>
      </c>
    </row>
    <row r="14" customFormat="false" ht="15" hidden="false" customHeight="true" outlineLevel="0" collapsed="false">
      <c r="A14" s="9" t="s">
        <v>220</v>
      </c>
      <c r="B14" s="23" t="n">
        <f aca="false">Fintech!$B$18</f>
        <v>500000000</v>
      </c>
    </row>
    <row r="15" customFormat="false" ht="15" hidden="false" customHeight="true" outlineLevel="0" collapsed="false">
      <c r="A15" s="9" t="s">
        <v>221</v>
      </c>
      <c r="B15" s="23" t="n">
        <f aca="false">Medical!$C$28</f>
        <v>364000000</v>
      </c>
    </row>
    <row r="16" customFormat="false" ht="15" hidden="false" customHeight="true" outlineLevel="0" collapsed="false">
      <c r="A16" s="9" t="s">
        <v>222</v>
      </c>
      <c r="B16" s="23" t="n">
        <f aca="false">Music!$B$8</f>
        <v>100000000</v>
      </c>
    </row>
    <row r="17" customFormat="false" ht="15" hidden="false" customHeight="true" outlineLevel="0" collapsed="false">
      <c r="A17" s="26" t="s">
        <v>223</v>
      </c>
      <c r="B17" s="45" t="n">
        <f aca="false">SUM(B13:B16)</f>
        <v>10964000000</v>
      </c>
    </row>
    <row r="18" customFormat="false" ht="15" hidden="false" customHeight="true" outlineLevel="0" collapsed="false">
      <c r="A18" s="9" t="s">
        <v>224</v>
      </c>
      <c r="B18" s="23" t="n">
        <f aca="false">'Web 2.0'!$C$13+'Web 2.0'!$C$14+'Web 2.0'!$C$15</f>
        <v>7200000000000</v>
      </c>
    </row>
    <row r="20" customFormat="false" ht="15" hidden="false" customHeight="true" outlineLevel="0" collapsed="false">
      <c r="A20" s="8" t="s">
        <v>225</v>
      </c>
      <c r="B20" s="8"/>
      <c r="C20" s="8"/>
      <c r="D20" s="8"/>
    </row>
    <row r="21" customFormat="false" ht="15" hidden="false" customHeight="true" outlineLevel="0" collapsed="false">
      <c r="A21" s="9" t="s">
        <v>226</v>
      </c>
      <c r="B21" s="15" t="n">
        <f aca="false">B17*B6</f>
        <v>2192800000</v>
      </c>
    </row>
    <row r="22" customFormat="false" ht="15" hidden="false" customHeight="true" outlineLevel="0" collapsed="false">
      <c r="A22" s="9" t="s">
        <v>227</v>
      </c>
      <c r="B22" s="25" t="n">
        <f aca="false">B21*B5</f>
        <v>10964000</v>
      </c>
    </row>
    <row r="23" customFormat="false" ht="15" hidden="false" customHeight="true" outlineLevel="0" collapsed="false">
      <c r="A23" s="9" t="s">
        <v>228</v>
      </c>
      <c r="B23" s="15" t="n">
        <f aca="false">B18*B8</f>
        <v>360000000000</v>
      </c>
    </row>
    <row r="24" customFormat="false" ht="15" hidden="false" customHeight="true" outlineLevel="0" collapsed="false">
      <c r="A24" s="9" t="s">
        <v>229</v>
      </c>
      <c r="B24" s="25" t="n">
        <f aca="false">B23*B7</f>
        <v>180000000</v>
      </c>
    </row>
    <row r="25" customFormat="false" ht="15" hidden="false" customHeight="true" outlineLevel="0" collapsed="false">
      <c r="A25" s="29" t="s">
        <v>230</v>
      </c>
      <c r="B25" s="30" t="n">
        <f aca="false">B22+B24</f>
        <v>190964000</v>
      </c>
    </row>
    <row r="26" customFormat="false" ht="15" hidden="false" customHeight="true" outlineLevel="0" collapsed="false">
      <c r="A26" s="9" t="s">
        <v>231</v>
      </c>
      <c r="B26" s="15" t="n">
        <f aca="false">CEILING((B21+B23)/B9,1)</f>
        <v>12074</v>
      </c>
    </row>
    <row r="27" customFormat="false" ht="15" hidden="false" customHeight="true" outlineLevel="0" collapsed="false">
      <c r="A27" s="9" t="s">
        <v>232</v>
      </c>
      <c r="B27" s="25" t="n">
        <f aca="false">B26*B10</f>
        <v>50228516.144</v>
      </c>
    </row>
    <row r="28" customFormat="false" ht="15" hidden="false" customHeight="true" outlineLevel="0" collapsed="false">
      <c r="A28" s="26" t="s">
        <v>233</v>
      </c>
      <c r="B28" s="46" t="n">
        <f aca="false">B25/B27</f>
        <v>3.80190407083749</v>
      </c>
    </row>
    <row r="30" customFormat="false" ht="15" hidden="false" customHeight="true" outlineLevel="0" collapsed="false">
      <c r="A30" s="8" t="s">
        <v>234</v>
      </c>
      <c r="B30" s="8"/>
      <c r="C30" s="8"/>
      <c r="D30" s="8"/>
    </row>
    <row r="31" customFormat="false" ht="27.75" hidden="false" customHeight="true" outlineLevel="0" collapsed="false">
      <c r="A31" s="22" t="s">
        <v>235</v>
      </c>
      <c r="B31" s="22" t="s">
        <v>236</v>
      </c>
      <c r="C31" s="22" t="s">
        <v>237</v>
      </c>
      <c r="D31" s="22"/>
    </row>
    <row r="32" customFormat="false" ht="15" hidden="false" customHeight="true" outlineLevel="0" collapsed="false">
      <c r="A32" s="19" t="n">
        <v>2</v>
      </c>
      <c r="B32" s="34" t="n">
        <f aca="false">(A32-1)/A32</f>
        <v>0.5</v>
      </c>
      <c r="C32" s="25" t="n">
        <f aca="false">$B$17*B32*$B$5</f>
        <v>27410000</v>
      </c>
    </row>
    <row r="33" customFormat="false" ht="15" hidden="false" customHeight="true" outlineLevel="0" collapsed="false">
      <c r="A33" s="19" t="n">
        <v>5</v>
      </c>
      <c r="B33" s="34" t="n">
        <f aca="false">(A33-1)/A33</f>
        <v>0.8</v>
      </c>
      <c r="C33" s="25" t="n">
        <f aca="false">$B$17*B33*$B$5</f>
        <v>43856000</v>
      </c>
    </row>
    <row r="34" customFormat="false" ht="15" hidden="false" customHeight="true" outlineLevel="0" collapsed="false">
      <c r="A34" s="19" t="n">
        <v>10</v>
      </c>
      <c r="B34" s="34" t="n">
        <f aca="false">(A34-1)/A34</f>
        <v>0.9</v>
      </c>
      <c r="C34" s="25" t="n">
        <f aca="false">$B$17*B34*$B$5</f>
        <v>49338000</v>
      </c>
    </row>
    <row r="35" customFormat="false" ht="15" hidden="false" customHeight="true" outlineLevel="0" collapsed="false">
      <c r="A35" s="19" t="n">
        <v>50</v>
      </c>
      <c r="B35" s="34" t="n">
        <f aca="false">(A35-1)/A35</f>
        <v>0.98</v>
      </c>
      <c r="C35" s="25" t="n">
        <f aca="false">$B$17*B35*$B$5</f>
        <v>53723600</v>
      </c>
    </row>
    <row r="36" customFormat="false" ht="15" hidden="false" customHeight="true" outlineLevel="0" collapsed="false">
      <c r="A36" s="19" t="n">
        <v>100</v>
      </c>
      <c r="B36" s="34" t="n">
        <f aca="false">(A36-1)/A36</f>
        <v>0.99</v>
      </c>
      <c r="C36" s="25" t="n">
        <f aca="false">$B$17*B36*$B$5</f>
        <v>54271800</v>
      </c>
    </row>
  </sheetData>
  <mergeCells count="6">
    <mergeCell ref="A1:D1"/>
    <mergeCell ref="A2:D2"/>
    <mergeCell ref="A4:D4"/>
    <mergeCell ref="A12:D12"/>
    <mergeCell ref="A20:D20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24" hidden="false" customHeight="true" outlineLevel="0" collapsed="false">
      <c r="A1" s="2" t="s">
        <v>238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239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8" t="s">
        <v>240</v>
      </c>
      <c r="B4" s="8"/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9" t="s">
        <v>241</v>
      </c>
      <c r="B5" s="24" t="n">
        <f aca="false">Assumptions!$B$43</f>
        <v>0.0085</v>
      </c>
    </row>
    <row r="6" customFormat="false" ht="15" hidden="false" customHeight="true" outlineLevel="0" collapsed="false">
      <c r="A6" s="9" t="s">
        <v>242</v>
      </c>
      <c r="B6" s="24" t="n">
        <f aca="false">Assumptions!$B$45</f>
        <v>0.04</v>
      </c>
    </row>
    <row r="7" customFormat="false" ht="15" hidden="false" customHeight="true" outlineLevel="0" collapsed="false">
      <c r="A7" s="9" t="s">
        <v>243</v>
      </c>
      <c r="B7" s="24" t="n">
        <f aca="false">Assumptions!$B$44</f>
        <v>0.005</v>
      </c>
    </row>
    <row r="8" customFormat="false" ht="15" hidden="false" customHeight="true" outlineLevel="0" collapsed="false">
      <c r="A8" s="9" t="s">
        <v>244</v>
      </c>
      <c r="B8" s="23" t="n">
        <f aca="false">Assumptions!$B$46</f>
        <v>10</v>
      </c>
    </row>
    <row r="9" customFormat="false" ht="15" hidden="false" customHeight="true" outlineLevel="0" collapsed="false">
      <c r="A9" s="44" t="s">
        <v>245</v>
      </c>
      <c r="B9" s="44"/>
      <c r="C9" s="44"/>
      <c r="D9" s="44"/>
      <c r="E9" s="44"/>
      <c r="F9" s="44"/>
      <c r="G9" s="44"/>
      <c r="H9" s="44"/>
    </row>
    <row r="11" customFormat="false" ht="15" hidden="false" customHeight="true" outlineLevel="0" collapsed="false">
      <c r="A11" s="8" t="s">
        <v>246</v>
      </c>
      <c r="B11" s="8"/>
      <c r="C11" s="8"/>
      <c r="D11" s="8"/>
      <c r="E11" s="8"/>
      <c r="F11" s="8"/>
      <c r="G11" s="8"/>
      <c r="H11" s="8"/>
    </row>
    <row r="12" customFormat="false" ht="27.75" hidden="false" customHeight="true" outlineLevel="0" collapsed="false">
      <c r="A12" s="22" t="s">
        <v>247</v>
      </c>
      <c r="B12" s="22" t="s">
        <v>248</v>
      </c>
      <c r="C12" s="22" t="s">
        <v>167</v>
      </c>
      <c r="D12" s="22" t="s">
        <v>249</v>
      </c>
      <c r="E12" s="22" t="s">
        <v>250</v>
      </c>
      <c r="F12" s="22" t="s">
        <v>251</v>
      </c>
      <c r="G12" s="22" t="s">
        <v>252</v>
      </c>
      <c r="H12" s="22" t="s">
        <v>253</v>
      </c>
    </row>
    <row r="13" customFormat="false" ht="15" hidden="false" customHeight="true" outlineLevel="0" collapsed="false">
      <c r="A13" s="9" t="s">
        <v>254</v>
      </c>
      <c r="B13" s="23" t="n">
        <f aca="false">Assumptions!$B$49</f>
        <v>250</v>
      </c>
      <c r="C13" s="23" t="n">
        <f aca="false">Medical!$B$7*Assumptions!$B$52</f>
        <v>36400000</v>
      </c>
      <c r="D13" s="15" t="n">
        <f aca="false">C13*B13/1024</f>
        <v>8886718.75</v>
      </c>
      <c r="E13" s="25" t="n">
        <f aca="false">D13*$B$5</f>
        <v>75537.109375</v>
      </c>
      <c r="F13" s="25" t="n">
        <f aca="false">D13*$B$6</f>
        <v>355468.75</v>
      </c>
      <c r="G13" s="36" t="n">
        <f aca="false">E13/C13</f>
        <v>0.0020751953125</v>
      </c>
      <c r="H13" s="34" t="n">
        <f aca="false">E13/Medical!$F$28</f>
        <v>0.0103759765625</v>
      </c>
    </row>
    <row r="14" customFormat="false" ht="15" hidden="false" customHeight="true" outlineLevel="0" collapsed="false">
      <c r="A14" s="9" t="s">
        <v>255</v>
      </c>
      <c r="B14" s="23" t="n">
        <f aca="false">Assumptions!$B$50</f>
        <v>4</v>
      </c>
      <c r="C14" s="23" t="n">
        <f aca="false">Music!$B$8</f>
        <v>100000000</v>
      </c>
      <c r="D14" s="15" t="n">
        <f aca="false">C14*B14/1024</f>
        <v>390625</v>
      </c>
      <c r="E14" s="25" t="n">
        <f aca="false">D14*$B$5</f>
        <v>3320.3125</v>
      </c>
      <c r="F14" s="25" t="n">
        <f aca="false">D14*$B$6</f>
        <v>15625</v>
      </c>
      <c r="G14" s="36" t="n">
        <f aca="false">E14/C14</f>
        <v>3.3203125E-005</v>
      </c>
      <c r="H14" s="34" t="n">
        <f aca="false">E14/Music!$B$20</f>
        <v>0.110677083333333</v>
      </c>
    </row>
    <row r="15" customFormat="false" ht="15" hidden="false" customHeight="true" outlineLevel="0" collapsed="false">
      <c r="A15" s="9" t="s">
        <v>256</v>
      </c>
      <c r="B15" s="23" t="n">
        <f aca="false">Assumptions!$B$51</f>
        <v>40</v>
      </c>
      <c r="C15" s="23" t="n">
        <f aca="false">Music!$B$8</f>
        <v>100000000</v>
      </c>
      <c r="D15" s="15" t="n">
        <f aca="false">C15*B15/1024</f>
        <v>3906250</v>
      </c>
      <c r="E15" s="25" t="n">
        <f aca="false">D15*$B$5</f>
        <v>33203.125</v>
      </c>
      <c r="F15" s="25" t="n">
        <f aca="false">D15*$B$6</f>
        <v>156250</v>
      </c>
      <c r="G15" s="36" t="n">
        <f aca="false">E15/C15</f>
        <v>0.00033203125</v>
      </c>
      <c r="H15" s="34" t="n">
        <f aca="false">E15/Music!$B$20</f>
        <v>1.10677083333333</v>
      </c>
    </row>
    <row r="16" customFormat="false" ht="15" hidden="false" customHeight="true" outlineLevel="0" collapsed="false">
      <c r="A16" s="9" t="s">
        <v>257</v>
      </c>
      <c r="B16" s="47" t="n">
        <v>0.003</v>
      </c>
      <c r="C16" s="23" t="n">
        <f aca="false">AI!$C$19</f>
        <v>10000000000</v>
      </c>
      <c r="D16" s="15" t="n">
        <f aca="false">C16*B16/1024</f>
        <v>29296.875</v>
      </c>
      <c r="E16" s="25" t="n">
        <f aca="false">D16*$B$5</f>
        <v>249.0234375</v>
      </c>
      <c r="F16" s="25" t="n">
        <f aca="false">D16*$B$6</f>
        <v>1171.875</v>
      </c>
      <c r="G16" s="36" t="n">
        <f aca="false">E16/C16</f>
        <v>2.490234375E-008</v>
      </c>
      <c r="H16" s="11" t="s">
        <v>258</v>
      </c>
    </row>
    <row r="18" customFormat="false" ht="15" hidden="false" customHeight="true" outlineLevel="0" collapsed="false">
      <c r="A18" s="8" t="s">
        <v>259</v>
      </c>
      <c r="B18" s="8"/>
      <c r="C18" s="8"/>
      <c r="D18" s="8"/>
      <c r="E18" s="8"/>
      <c r="F18" s="8"/>
      <c r="G18" s="8"/>
      <c r="H18" s="8"/>
    </row>
    <row r="19" customFormat="false" ht="15" hidden="false" customHeight="true" outlineLevel="0" collapsed="false">
      <c r="A19" s="9" t="s">
        <v>260</v>
      </c>
      <c r="B19" s="38" t="n">
        <f aca="false">Music!$B$13</f>
        <v>16640.224</v>
      </c>
    </row>
    <row r="20" customFormat="false" ht="15" hidden="false" customHeight="true" outlineLevel="0" collapsed="false">
      <c r="A20" s="9" t="s">
        <v>261</v>
      </c>
      <c r="B20" s="36" t="n">
        <f aca="false">(B19+E14)/C14</f>
        <v>0.000199605365</v>
      </c>
    </row>
    <row r="21" customFormat="false" ht="15" hidden="false" customHeight="true" outlineLevel="0" collapsed="false">
      <c r="A21" s="9" t="s">
        <v>262</v>
      </c>
      <c r="B21" s="36" t="n">
        <f aca="false">(B19+E15)/C15</f>
        <v>0.00049843349</v>
      </c>
    </row>
    <row r="22" customFormat="false" ht="15" hidden="false" customHeight="true" outlineLevel="0" collapsed="false">
      <c r="A22" s="9" t="s">
        <v>263</v>
      </c>
      <c r="B22" s="33" t="n">
        <f aca="false">Assumptions!$B$30</f>
        <v>0.0003</v>
      </c>
    </row>
    <row r="23" customFormat="false" ht="15" hidden="false" customHeight="true" outlineLevel="0" collapsed="false">
      <c r="A23" s="48" t="s">
        <v>264</v>
      </c>
      <c r="B23" s="48"/>
      <c r="C23" s="48"/>
      <c r="D23" s="48"/>
      <c r="E23" s="48"/>
      <c r="F23" s="48"/>
      <c r="G23" s="48"/>
      <c r="H23" s="48"/>
    </row>
  </sheetData>
  <mergeCells count="7">
    <mergeCell ref="A1:H1"/>
    <mergeCell ref="A2:H2"/>
    <mergeCell ref="A4:H4"/>
    <mergeCell ref="A9:H9"/>
    <mergeCell ref="A11:H11"/>
    <mergeCell ref="A18:H18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20"/>
  </cols>
  <sheetData>
    <row r="1" customFormat="false" ht="24" hidden="false" customHeight="true" outlineLevel="0" collapsed="false">
      <c r="A1" s="2" t="s">
        <v>265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266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22" t="s">
        <v>267</v>
      </c>
      <c r="B4" s="22" t="s">
        <v>268</v>
      </c>
      <c r="C4" s="22" t="s">
        <v>269</v>
      </c>
      <c r="D4" s="22" t="s">
        <v>270</v>
      </c>
      <c r="E4" s="22" t="s">
        <v>271</v>
      </c>
      <c r="F4" s="22" t="s">
        <v>272</v>
      </c>
    </row>
    <row r="5" customFormat="false" ht="15" hidden="false" customHeight="true" outlineLevel="0" collapsed="false">
      <c r="A5" s="26" t="s">
        <v>41</v>
      </c>
      <c r="B5" s="9" t="s">
        <v>273</v>
      </c>
      <c r="C5" s="9" t="s">
        <v>274</v>
      </c>
      <c r="D5" s="9" t="s">
        <v>275</v>
      </c>
      <c r="E5" s="49" t="n">
        <f aca="false">AI!$B$12</f>
        <v>0.016640224</v>
      </c>
      <c r="F5" s="9" t="s">
        <v>276</v>
      </c>
    </row>
    <row r="6" customFormat="false" ht="15" hidden="false" customHeight="true" outlineLevel="0" collapsed="false">
      <c r="A6" s="26" t="s">
        <v>43</v>
      </c>
      <c r="B6" s="9" t="s">
        <v>277</v>
      </c>
      <c r="C6" s="9" t="s">
        <v>278</v>
      </c>
      <c r="D6" s="9" t="s">
        <v>279</v>
      </c>
      <c r="E6" s="49" t="n">
        <f aca="false">Fintech!$B$11</f>
        <v>0.002080028</v>
      </c>
      <c r="F6" s="9" t="s">
        <v>280</v>
      </c>
    </row>
    <row r="7" customFormat="false" ht="15" hidden="false" customHeight="true" outlineLevel="0" collapsed="false">
      <c r="A7" s="26" t="s">
        <v>54</v>
      </c>
      <c r="B7" s="9" t="s">
        <v>281</v>
      </c>
      <c r="C7" s="9" t="s">
        <v>282</v>
      </c>
      <c r="D7" s="9" t="s">
        <v>283</v>
      </c>
      <c r="E7" s="49" t="n">
        <f aca="false">Medical!$B$16</f>
        <v>0.04160056</v>
      </c>
      <c r="F7" s="9" t="s">
        <v>284</v>
      </c>
    </row>
    <row r="8" customFormat="false" ht="15" hidden="false" customHeight="true" outlineLevel="0" collapsed="false">
      <c r="A8" s="26" t="s">
        <v>44</v>
      </c>
      <c r="B8" s="9" t="s">
        <v>285</v>
      </c>
      <c r="C8" s="9" t="s">
        <v>286</v>
      </c>
      <c r="D8" s="9" t="s">
        <v>287</v>
      </c>
      <c r="E8" s="39" t="s">
        <v>288</v>
      </c>
      <c r="F8" s="9" t="s">
        <v>289</v>
      </c>
    </row>
    <row r="9" customFormat="false" ht="15" hidden="false" customHeight="true" outlineLevel="0" collapsed="false">
      <c r="A9" s="26" t="s">
        <v>290</v>
      </c>
      <c r="B9" s="9" t="s">
        <v>291</v>
      </c>
      <c r="C9" s="9" t="s">
        <v>274</v>
      </c>
      <c r="D9" s="9" t="s">
        <v>292</v>
      </c>
      <c r="E9" s="39" t="s">
        <v>293</v>
      </c>
      <c r="F9" s="9" t="s">
        <v>294</v>
      </c>
    </row>
    <row r="12" customFormat="false" ht="15" hidden="false" customHeight="true" outlineLevel="0" collapsed="false">
      <c r="A12" s="26" t="s">
        <v>295</v>
      </c>
      <c r="B12" s="50" t="s">
        <v>296</v>
      </c>
      <c r="C12" s="50"/>
      <c r="D12" s="50"/>
      <c r="E12" s="50"/>
      <c r="F12" s="50"/>
    </row>
    <row r="14" customFormat="false" ht="15" hidden="false" customHeight="true" outlineLevel="0" collapsed="false">
      <c r="A14" s="26" t="s">
        <v>297</v>
      </c>
      <c r="B14" s="50" t="s">
        <v>298</v>
      </c>
      <c r="C14" s="50"/>
      <c r="D14" s="50"/>
      <c r="E14" s="50"/>
      <c r="F14" s="50"/>
    </row>
  </sheetData>
  <mergeCells count="4">
    <mergeCell ref="A1:F1"/>
    <mergeCell ref="A2:F2"/>
    <mergeCell ref="B12:F12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52"/>
  </cols>
  <sheetData>
    <row r="1" customFormat="false" ht="21.75" hidden="false" customHeight="true" outlineLevel="0" collapsed="false">
      <c r="A1" s="51" t="s">
        <v>299</v>
      </c>
      <c r="B1" s="52"/>
      <c r="C1" s="52"/>
      <c r="D1" s="52"/>
    </row>
    <row r="2" customFormat="false" ht="15" hidden="false" customHeight="true" outlineLevel="0" collapsed="false">
      <c r="A2" s="53" t="s">
        <v>300</v>
      </c>
    </row>
    <row r="4" customFormat="false" ht="15" hidden="false" customHeight="true" outlineLevel="0" collapsed="false">
      <c r="A4" s="54" t="s">
        <v>301</v>
      </c>
      <c r="B4" s="55"/>
      <c r="C4" s="55"/>
      <c r="D4" s="55"/>
    </row>
    <row r="5" customFormat="false" ht="15" hidden="false" customHeight="true" outlineLevel="0" collapsed="false">
      <c r="A5" s="56" t="s">
        <v>302</v>
      </c>
      <c r="B5" s="57" t="n">
        <v>150000</v>
      </c>
      <c r="C5" s="58" t="s">
        <v>303</v>
      </c>
      <c r="D5" s="59" t="s">
        <v>304</v>
      </c>
    </row>
    <row r="6" customFormat="false" ht="15" hidden="false" customHeight="true" outlineLevel="0" collapsed="false">
      <c r="A6" s="56" t="s">
        <v>305</v>
      </c>
      <c r="B6" s="60" t="n">
        <v>1.6</v>
      </c>
      <c r="C6" s="58" t="s">
        <v>52</v>
      </c>
      <c r="D6" s="59" t="s">
        <v>306</v>
      </c>
    </row>
    <row r="7" customFormat="false" ht="15" hidden="false" customHeight="true" outlineLevel="0" collapsed="false">
      <c r="A7" s="56" t="s">
        <v>307</v>
      </c>
      <c r="B7" s="61" t="n">
        <f aca="false">B5*B6/12</f>
        <v>20000</v>
      </c>
      <c r="C7" s="58" t="s">
        <v>308</v>
      </c>
      <c r="D7" s="62"/>
    </row>
    <row r="8" customFormat="false" ht="15" hidden="false" customHeight="true" outlineLevel="0" collapsed="false">
      <c r="A8" s="56" t="s">
        <v>309</v>
      </c>
      <c r="B8" s="63" t="n">
        <v>30</v>
      </c>
      <c r="C8" s="58" t="s">
        <v>310</v>
      </c>
      <c r="D8" s="59" t="s">
        <v>311</v>
      </c>
    </row>
    <row r="9" customFormat="false" ht="15" hidden="false" customHeight="true" outlineLevel="0" collapsed="false">
      <c r="A9" s="56" t="s">
        <v>312</v>
      </c>
      <c r="B9" s="63" t="n">
        <v>2</v>
      </c>
      <c r="C9" s="58" t="s">
        <v>313</v>
      </c>
      <c r="D9" s="59" t="s">
        <v>314</v>
      </c>
    </row>
    <row r="10" customFormat="false" ht="15" hidden="false" customHeight="true" outlineLevel="0" collapsed="false">
      <c r="A10" s="56" t="s">
        <v>315</v>
      </c>
      <c r="B10" s="63" t="n">
        <v>300</v>
      </c>
      <c r="C10" s="58" t="s">
        <v>310</v>
      </c>
      <c r="D10" s="59" t="s">
        <v>316</v>
      </c>
    </row>
    <row r="11" customFormat="false" ht="15" hidden="false" customHeight="true" outlineLevel="0" collapsed="false">
      <c r="A11" s="56" t="s">
        <v>317</v>
      </c>
      <c r="B11" s="63" t="n">
        <v>1</v>
      </c>
      <c r="C11" s="58" t="s">
        <v>313</v>
      </c>
      <c r="D11" s="59" t="s">
        <v>318</v>
      </c>
    </row>
    <row r="12" customFormat="false" ht="15" hidden="false" customHeight="true" outlineLevel="0" collapsed="false">
      <c r="A12" s="62"/>
      <c r="B12" s="62"/>
      <c r="C12" s="62"/>
      <c r="D12" s="62"/>
    </row>
    <row r="13" customFormat="false" ht="15" hidden="false" customHeight="true" outlineLevel="0" collapsed="false">
      <c r="A13" s="54" t="s">
        <v>319</v>
      </c>
      <c r="B13" s="55"/>
      <c r="C13" s="55"/>
      <c r="D13" s="55"/>
    </row>
    <row r="14" customFormat="false" ht="15" hidden="false" customHeight="true" outlineLevel="0" collapsed="false">
      <c r="A14" s="56" t="s">
        <v>320</v>
      </c>
      <c r="B14" s="64" t="n">
        <v>1.25</v>
      </c>
      <c r="C14" s="58" t="s">
        <v>321</v>
      </c>
      <c r="D14" s="59" t="s">
        <v>322</v>
      </c>
    </row>
    <row r="15" customFormat="false" ht="15" hidden="false" customHeight="true" outlineLevel="0" collapsed="false">
      <c r="A15" s="56" t="s">
        <v>323</v>
      </c>
      <c r="B15" s="57" t="n">
        <v>3000</v>
      </c>
      <c r="C15" s="58" t="s">
        <v>308</v>
      </c>
      <c r="D15" s="59" t="s">
        <v>324</v>
      </c>
    </row>
    <row r="16" customFormat="false" ht="15" hidden="false" customHeight="true" outlineLevel="0" collapsed="false">
      <c r="A16" s="56" t="s">
        <v>325</v>
      </c>
      <c r="B16" s="61" t="n">
        <f aca="false">B14*B7+B15</f>
        <v>28000</v>
      </c>
      <c r="C16" s="58" t="s">
        <v>308</v>
      </c>
      <c r="D16" s="62"/>
    </row>
    <row r="17" customFormat="false" ht="15" hidden="false" customHeight="true" outlineLevel="0" collapsed="false">
      <c r="A17" s="56" t="s">
        <v>326</v>
      </c>
      <c r="B17" s="57" t="n">
        <v>2000</v>
      </c>
      <c r="C17" s="58" t="s">
        <v>308</v>
      </c>
      <c r="D17" s="59" t="s">
        <v>327</v>
      </c>
    </row>
    <row r="18" customFormat="false" ht="15" hidden="false" customHeight="true" outlineLevel="0" collapsed="false">
      <c r="A18" s="62"/>
      <c r="B18" s="62"/>
      <c r="C18" s="62"/>
      <c r="D18" s="62"/>
    </row>
    <row r="19" customFormat="false" ht="15" hidden="false" customHeight="true" outlineLevel="0" collapsed="false">
      <c r="A19" s="54" t="s">
        <v>328</v>
      </c>
      <c r="B19" s="55"/>
      <c r="C19" s="55"/>
      <c r="D19" s="55"/>
    </row>
    <row r="20" customFormat="false" ht="15" hidden="false" customHeight="true" outlineLevel="0" collapsed="false">
      <c r="A20" s="65" t="s">
        <v>329</v>
      </c>
      <c r="B20" s="65" t="s">
        <v>330</v>
      </c>
      <c r="C20" s="65" t="s">
        <v>331</v>
      </c>
      <c r="D20" s="65" t="s">
        <v>332</v>
      </c>
    </row>
    <row r="21" customFormat="false" ht="15" hidden="false" customHeight="true" outlineLevel="0" collapsed="false">
      <c r="A21" s="56" t="s">
        <v>333</v>
      </c>
      <c r="B21" s="66" t="n">
        <v>1</v>
      </c>
      <c r="C21" s="66" t="n">
        <v>5</v>
      </c>
      <c r="D21" s="59" t="s">
        <v>334</v>
      </c>
    </row>
    <row r="22" customFormat="false" ht="15" hidden="false" customHeight="true" outlineLevel="0" collapsed="false">
      <c r="A22" s="56" t="s">
        <v>335</v>
      </c>
      <c r="B22" s="66" t="n">
        <v>3</v>
      </c>
      <c r="C22" s="66" t="n">
        <v>15</v>
      </c>
      <c r="D22" s="59" t="s">
        <v>336</v>
      </c>
    </row>
    <row r="23" customFormat="false" ht="15" hidden="false" customHeight="true" outlineLevel="0" collapsed="false">
      <c r="A23" s="56" t="s">
        <v>337</v>
      </c>
      <c r="B23" s="66" t="n">
        <v>5</v>
      </c>
      <c r="C23" s="66" t="n">
        <v>25</v>
      </c>
      <c r="D23" s="59" t="s">
        <v>338</v>
      </c>
    </row>
    <row r="24" customFormat="false" ht="15" hidden="false" customHeight="true" outlineLevel="0" collapsed="false">
      <c r="A24" s="56" t="s">
        <v>339</v>
      </c>
      <c r="B24" s="60" t="n">
        <v>0.1</v>
      </c>
      <c r="C24" s="58" t="s">
        <v>52</v>
      </c>
      <c r="D24" s="59" t="s">
        <v>340</v>
      </c>
    </row>
    <row r="25" customFormat="false" ht="15" hidden="false" customHeight="true" outlineLevel="0" collapsed="false">
      <c r="A25" s="62"/>
      <c r="B25" s="62"/>
      <c r="C25" s="62"/>
      <c r="D25" s="62"/>
    </row>
    <row r="26" customFormat="false" ht="15" hidden="false" customHeight="true" outlineLevel="0" collapsed="false">
      <c r="A26" s="54" t="s">
        <v>341</v>
      </c>
      <c r="B26" s="55"/>
      <c r="C26" s="55"/>
      <c r="D26" s="55"/>
    </row>
    <row r="27" customFormat="false" ht="15" hidden="false" customHeight="true" outlineLevel="0" collapsed="false">
      <c r="A27" s="65" t="s">
        <v>342</v>
      </c>
      <c r="B27" s="65" t="s">
        <v>343</v>
      </c>
      <c r="C27" s="65" t="s">
        <v>344</v>
      </c>
      <c r="D27" s="65" t="s">
        <v>345</v>
      </c>
    </row>
    <row r="28" customFormat="false" ht="15" hidden="false" customHeight="true" outlineLevel="0" collapsed="false">
      <c r="A28" s="56" t="s">
        <v>346</v>
      </c>
      <c r="B28" s="63" t="n">
        <v>24</v>
      </c>
      <c r="C28" s="63" t="n">
        <v>4000</v>
      </c>
      <c r="D28" s="63" t="n">
        <v>500</v>
      </c>
    </row>
    <row r="29" customFormat="false" ht="15" hidden="false" customHeight="true" outlineLevel="0" collapsed="false">
      <c r="A29" s="56" t="s">
        <v>347</v>
      </c>
      <c r="B29" s="67" t="n">
        <v>0.8</v>
      </c>
      <c r="C29" s="62"/>
      <c r="D29" s="62"/>
    </row>
    <row r="30" customFormat="false" ht="15" hidden="false" customHeight="true" outlineLevel="0" collapsed="false">
      <c r="A30" s="56" t="s">
        <v>348</v>
      </c>
      <c r="B30" s="63" t="n">
        <v>6</v>
      </c>
      <c r="C30" s="63" t="n">
        <v>30000</v>
      </c>
      <c r="D30" s="63" t="n">
        <v>6000</v>
      </c>
    </row>
    <row r="31" customFormat="false" ht="15" hidden="false" customHeight="true" outlineLevel="0" collapsed="false">
      <c r="A31" s="56" t="s">
        <v>349</v>
      </c>
      <c r="B31" s="67" t="n">
        <v>0.5</v>
      </c>
      <c r="C31" s="62"/>
      <c r="D31" s="62"/>
    </row>
    <row r="32" customFormat="false" ht="15" hidden="false" customHeight="true" outlineLevel="0" collapsed="false">
      <c r="A32" s="56" t="s">
        <v>350</v>
      </c>
      <c r="B32" s="68" t="n">
        <v>0.5</v>
      </c>
      <c r="C32" s="63" t="n">
        <v>50000</v>
      </c>
      <c r="D32" s="63" t="n">
        <v>12000</v>
      </c>
    </row>
    <row r="33" customFormat="false" ht="15" hidden="false" customHeight="true" outlineLevel="0" collapsed="false">
      <c r="A33" s="56" t="s">
        <v>351</v>
      </c>
      <c r="B33" s="67" t="n">
        <v>0</v>
      </c>
      <c r="C33" s="62"/>
      <c r="D33" s="62"/>
    </row>
    <row r="34" customFormat="false" ht="15" hidden="false" customHeight="true" outlineLevel="0" collapsed="false">
      <c r="A34" s="62"/>
      <c r="B34" s="62"/>
      <c r="C34" s="62"/>
      <c r="D34" s="6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5" min="2" style="1" width="13"/>
    <col collapsed="false" customWidth="true" hidden="false" outlineLevel="0" max="7" min="6" style="1" width="14"/>
    <col collapsed="false" customWidth="true" hidden="false" outlineLevel="0" max="8" min="8" style="1" width="15"/>
  </cols>
  <sheetData>
    <row r="1" customFormat="false" ht="21.75" hidden="false" customHeight="true" outlineLevel="0" collapsed="false">
      <c r="A1" s="51" t="s">
        <v>352</v>
      </c>
      <c r="B1" s="52"/>
      <c r="C1" s="52"/>
      <c r="D1" s="52"/>
      <c r="E1" s="52"/>
      <c r="F1" s="52"/>
      <c r="G1" s="52"/>
      <c r="H1" s="52"/>
    </row>
    <row r="2" customFormat="false" ht="15" hidden="false" customHeight="true" outlineLevel="0" collapsed="false">
      <c r="A2" s="53" t="s">
        <v>353</v>
      </c>
    </row>
    <row r="4" customFormat="false" ht="27.75" hidden="false" customHeight="true" outlineLevel="0" collapsed="false">
      <c r="A4" s="22" t="s">
        <v>342</v>
      </c>
      <c r="B4" s="22" t="s">
        <v>354</v>
      </c>
      <c r="C4" s="22" t="s">
        <v>344</v>
      </c>
      <c r="D4" s="22" t="s">
        <v>355</v>
      </c>
      <c r="E4" s="22" t="s">
        <v>345</v>
      </c>
      <c r="F4" s="22" t="s">
        <v>356</v>
      </c>
      <c r="G4" s="22" t="s">
        <v>357</v>
      </c>
      <c r="H4" s="22" t="s">
        <v>358</v>
      </c>
    </row>
    <row r="5" customFormat="false" ht="15" hidden="false" customHeight="true" outlineLevel="0" collapsed="false">
      <c r="A5" s="9" t="s">
        <v>359</v>
      </c>
      <c r="B5" s="69" t="n">
        <f aca="false">'Mgmt Assumptions'!$B$28*30</f>
        <v>720</v>
      </c>
      <c r="C5" s="23" t="n">
        <f aca="false">'Mgmt Assumptions'!$C$28</f>
        <v>4000</v>
      </c>
      <c r="D5" s="70" t="n">
        <f aca="false">'Mgmt Assumptions'!$B$29</f>
        <v>0.8</v>
      </c>
      <c r="E5" s="23" t="n">
        <f aca="false">'Mgmt Assumptions'!$D$28</f>
        <v>500</v>
      </c>
      <c r="F5" s="36" t="n">
        <f aca="false">(D5*C5*'Mgmt Assumptions'!$B$21*'Mgmt Assumptions'!$B$24+(1-D5)*C5*'Mgmt Assumptions'!$B$21)/1000000</f>
        <v>0.00112</v>
      </c>
      <c r="G5" s="36" t="n">
        <f aca="false">E5*'Mgmt Assumptions'!$C$21/1000000</f>
        <v>0.0025</v>
      </c>
      <c r="H5" s="71" t="n">
        <f aca="false">B5*(F5+G5)</f>
        <v>2.6064</v>
      </c>
    </row>
    <row r="6" customFormat="false" ht="15" hidden="false" customHeight="true" outlineLevel="0" collapsed="false">
      <c r="A6" s="9" t="s">
        <v>360</v>
      </c>
      <c r="B6" s="69" t="n">
        <f aca="false">'Mgmt Assumptions'!$B$30</f>
        <v>6</v>
      </c>
      <c r="C6" s="23" t="n">
        <f aca="false">'Mgmt Assumptions'!$C$30</f>
        <v>30000</v>
      </c>
      <c r="D6" s="70" t="n">
        <f aca="false">'Mgmt Assumptions'!$B$31</f>
        <v>0.5</v>
      </c>
      <c r="E6" s="23" t="n">
        <f aca="false">'Mgmt Assumptions'!$D$30</f>
        <v>6000</v>
      </c>
      <c r="F6" s="36" t="n">
        <f aca="false">(D6*C6*'Mgmt Assumptions'!$B$23*'Mgmt Assumptions'!$B$24+(1-D6)*C6*'Mgmt Assumptions'!$B$23)/1000000</f>
        <v>0.0825</v>
      </c>
      <c r="G6" s="36" t="n">
        <f aca="false">E6*'Mgmt Assumptions'!$C$23/1000000</f>
        <v>0.15</v>
      </c>
      <c r="H6" s="71" t="n">
        <f aca="false">B6*(F6+G6)</f>
        <v>1.395</v>
      </c>
    </row>
    <row r="7" customFormat="false" ht="15" hidden="false" customHeight="true" outlineLevel="0" collapsed="false">
      <c r="A7" s="9" t="s">
        <v>361</v>
      </c>
      <c r="B7" s="69" t="n">
        <f aca="false">'Mgmt Assumptions'!$B$32</f>
        <v>0.5</v>
      </c>
      <c r="C7" s="23" t="n">
        <f aca="false">'Mgmt Assumptions'!$C$32</f>
        <v>50000</v>
      </c>
      <c r="D7" s="70" t="n">
        <f aca="false">'Mgmt Assumptions'!$B$33</f>
        <v>0</v>
      </c>
      <c r="E7" s="23" t="n">
        <f aca="false">'Mgmt Assumptions'!$D$32</f>
        <v>12000</v>
      </c>
      <c r="F7" s="36" t="n">
        <f aca="false">(D7*C7*'Mgmt Assumptions'!$B$22*'Mgmt Assumptions'!$B$24+(1-D7)*C7*'Mgmt Assumptions'!$B$22)/1000000</f>
        <v>0.15</v>
      </c>
      <c r="G7" s="36" t="n">
        <f aca="false">E7*'Mgmt Assumptions'!$C$22/1000000</f>
        <v>0.18</v>
      </c>
      <c r="H7" s="71" t="n">
        <f aca="false">B7*(F7+G7)</f>
        <v>0.165</v>
      </c>
    </row>
    <row r="8" customFormat="false" ht="15" hidden="false" customHeight="true" outlineLevel="0" collapsed="false">
      <c r="A8" s="72" t="s">
        <v>362</v>
      </c>
      <c r="B8" s="73"/>
      <c r="C8" s="73"/>
      <c r="D8" s="73"/>
      <c r="E8" s="73"/>
      <c r="F8" s="73"/>
      <c r="G8" s="73"/>
      <c r="H8" s="74" t="n">
        <f aca="false">SUM(H5:H7)</f>
        <v>4.1664</v>
      </c>
    </row>
    <row r="10" customFormat="false" ht="15" hidden="false" customHeight="true" outlineLevel="0" collapsed="false">
      <c r="A10" s="26" t="s">
        <v>363</v>
      </c>
    </row>
    <row r="11" customFormat="false" ht="15" hidden="false" customHeight="true" outlineLevel="0" collapsed="false">
      <c r="A11" s="9" t="s">
        <v>364</v>
      </c>
      <c r="H11" s="75" t="n">
        <f aca="false">'Rent Cost Model'!$D$11</f>
        <v>4160.056</v>
      </c>
    </row>
    <row r="12" customFormat="false" ht="15" hidden="false" customHeight="true" outlineLevel="0" collapsed="false">
      <c r="A12" s="9" t="s">
        <v>365</v>
      </c>
      <c r="H12" s="32" t="n">
        <f aca="false">H8/H11</f>
        <v>0.00100152497947143</v>
      </c>
    </row>
    <row r="13" customFormat="false" ht="15" hidden="false" customHeight="true" outlineLevel="0" collapsed="false">
      <c r="A13" s="9" t="s">
        <v>366</v>
      </c>
      <c r="H13" s="75" t="n">
        <f aca="false">'Mgmt Assumptions'!$B$7/'Mgmt Assumptions'!$B$8</f>
        <v>666.666666666667</v>
      </c>
    </row>
    <row r="14" customFormat="false" ht="15" hidden="false" customHeight="true" outlineLevel="0" collapsed="false">
      <c r="A14" s="9" t="s">
        <v>367</v>
      </c>
      <c r="H14" s="75" t="n">
        <f aca="false">'Mgmt Assumptions'!$B$7/'Mgmt Assumptions'!$B$10</f>
        <v>66.6666666666667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"/>
    <col collapsed="false" customWidth="true" hidden="false" outlineLevel="0" max="4" min="3" style="1" width="13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10" min="8" style="1" width="13"/>
    <col collapsed="false" customWidth="true" hidden="false" outlineLevel="0" max="12" min="11" style="1" width="12"/>
  </cols>
  <sheetData>
    <row r="1" customFormat="false" ht="21.75" hidden="false" customHeight="true" outlineLevel="0" collapsed="false">
      <c r="A1" s="51" t="s">
        <v>368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customFormat="false" ht="15" hidden="false" customHeight="true" outlineLevel="0" collapsed="false">
      <c r="A2" s="53" t="s">
        <v>369</v>
      </c>
    </row>
    <row r="3" customFormat="false" ht="15" hidden="false" customHeight="true" outlineLevel="0" collapsed="false">
      <c r="A3" s="26" t="s">
        <v>370</v>
      </c>
      <c r="B3" s="9" t="s">
        <v>371</v>
      </c>
      <c r="C3" s="76" t="n">
        <f aca="false">'Agent Cost'!$H$8</f>
        <v>4.1664</v>
      </c>
      <c r="D3" s="9" t="s">
        <v>372</v>
      </c>
      <c r="E3" s="75" t="n">
        <f aca="false">'Rent Cost Model'!$D$11</f>
        <v>4160.056</v>
      </c>
    </row>
    <row r="5" customFormat="false" ht="30" hidden="false" customHeight="true" outlineLevel="0" collapsed="false">
      <c r="A5" s="22" t="s">
        <v>373</v>
      </c>
      <c r="B5" s="22" t="s">
        <v>374</v>
      </c>
      <c r="C5" s="22" t="s">
        <v>375</v>
      </c>
      <c r="D5" s="22" t="s">
        <v>376</v>
      </c>
      <c r="E5" s="22" t="s">
        <v>377</v>
      </c>
      <c r="F5" s="22" t="s">
        <v>378</v>
      </c>
      <c r="G5" s="22" t="s">
        <v>379</v>
      </c>
      <c r="H5" s="22" t="s">
        <v>380</v>
      </c>
      <c r="I5" s="22" t="s">
        <v>381</v>
      </c>
      <c r="J5" s="22" t="s">
        <v>382</v>
      </c>
      <c r="K5" s="22" t="s">
        <v>383</v>
      </c>
      <c r="L5" s="22" t="s">
        <v>384</v>
      </c>
    </row>
    <row r="6" customFormat="false" ht="15" hidden="false" customHeight="true" outlineLevel="0" collapsed="false">
      <c r="A6" s="19" t="n">
        <v>1</v>
      </c>
      <c r="B6" s="15" t="n">
        <f aca="false">MAX('Mgmt Assumptions'!$B$9,CEILING(A6/'Mgmt Assumptions'!$B$8,1))</f>
        <v>2</v>
      </c>
      <c r="C6" s="77" t="n">
        <f aca="false">B6*'Mgmt Assumptions'!$B$7</f>
        <v>40000</v>
      </c>
      <c r="D6" s="78" t="n">
        <f aca="false">'Mgmt Assumptions'!$B$16+'Mgmt Assumptions'!$B$17+A6*$C$3</f>
        <v>30004.1664</v>
      </c>
      <c r="E6" s="15" t="n">
        <f aca="false">MAX('Mgmt Assumptions'!$B$11,CEILING(A6/'Mgmt Assumptions'!$B$10,1))</f>
        <v>1</v>
      </c>
      <c r="F6" s="78" t="n">
        <f aca="false">'Mgmt Assumptions'!$B$16+A6*$C$3+E6*'Mgmt Assumptions'!$B$7</f>
        <v>48004.1664</v>
      </c>
      <c r="G6" s="79" t="str">
        <f aca="false">IF(F6&lt;C6,"Hybrid","DevOps")</f>
        <v>DevOps</v>
      </c>
      <c r="H6" s="78" t="n">
        <f aca="false">C6/A6</f>
        <v>40000</v>
      </c>
      <c r="I6" s="78" t="n">
        <f aca="false">F6/A6</f>
        <v>48004.1664</v>
      </c>
      <c r="J6" s="78" t="n">
        <f aca="false">A6*$E$3</f>
        <v>4160.056</v>
      </c>
      <c r="K6" s="80" t="n">
        <f aca="false">F6/J6</f>
        <v>11.5393077400881</v>
      </c>
      <c r="L6" s="80" t="n">
        <f aca="false">C6/J6</f>
        <v>9.6152551792572</v>
      </c>
    </row>
    <row r="7" customFormat="false" ht="15" hidden="false" customHeight="true" outlineLevel="0" collapsed="false">
      <c r="A7" s="19" t="n">
        <v>2</v>
      </c>
      <c r="B7" s="15" t="n">
        <f aca="false">MAX('Mgmt Assumptions'!$B$9,CEILING(A7/'Mgmt Assumptions'!$B$8,1))</f>
        <v>2</v>
      </c>
      <c r="C7" s="77" t="n">
        <f aca="false">B7*'Mgmt Assumptions'!$B$7</f>
        <v>40000</v>
      </c>
      <c r="D7" s="78" t="n">
        <f aca="false">'Mgmt Assumptions'!$B$16+'Mgmt Assumptions'!$B$17+A7*$C$3</f>
        <v>30008.3328</v>
      </c>
      <c r="E7" s="15" t="n">
        <f aca="false">MAX('Mgmt Assumptions'!$B$11,CEILING(A7/'Mgmt Assumptions'!$B$10,1))</f>
        <v>1</v>
      </c>
      <c r="F7" s="78" t="n">
        <f aca="false">'Mgmt Assumptions'!$B$16+A7*$C$3+E7*'Mgmt Assumptions'!$B$7</f>
        <v>48008.3328</v>
      </c>
      <c r="G7" s="79" t="str">
        <f aca="false">IF(F7&lt;C7,"Hybrid","DevOps")</f>
        <v>DevOps</v>
      </c>
      <c r="H7" s="78" t="n">
        <f aca="false">C7/A7</f>
        <v>20000</v>
      </c>
      <c r="I7" s="78" t="n">
        <f aca="false">F7/A7</f>
        <v>24004.1664</v>
      </c>
      <c r="J7" s="78" t="n">
        <f aca="false">A7*$E$3</f>
        <v>8320.112</v>
      </c>
      <c r="K7" s="80" t="n">
        <f aca="false">F7/J7</f>
        <v>5.77015463253379</v>
      </c>
      <c r="L7" s="80" t="n">
        <f aca="false">C7/J7</f>
        <v>4.8076275896286</v>
      </c>
    </row>
    <row r="8" customFormat="false" ht="15" hidden="false" customHeight="true" outlineLevel="0" collapsed="false">
      <c r="A8" s="19" t="n">
        <v>5</v>
      </c>
      <c r="B8" s="15" t="n">
        <f aca="false">MAX('Mgmt Assumptions'!$B$9,CEILING(A8/'Mgmt Assumptions'!$B$8,1))</f>
        <v>2</v>
      </c>
      <c r="C8" s="77" t="n">
        <f aca="false">B8*'Mgmt Assumptions'!$B$7</f>
        <v>40000</v>
      </c>
      <c r="D8" s="78" t="n">
        <f aca="false">'Mgmt Assumptions'!$B$16+'Mgmt Assumptions'!$B$17+A8*$C$3</f>
        <v>30020.832</v>
      </c>
      <c r="E8" s="15" t="n">
        <f aca="false">MAX('Mgmt Assumptions'!$B$11,CEILING(A8/'Mgmt Assumptions'!$B$10,1))</f>
        <v>1</v>
      </c>
      <c r="F8" s="78" t="n">
        <f aca="false">'Mgmt Assumptions'!$B$16+A8*$C$3+E8*'Mgmt Assumptions'!$B$7</f>
        <v>48020.832</v>
      </c>
      <c r="G8" s="79" t="str">
        <f aca="false">IF(F8&lt;C8,"Hybrid","DevOps")</f>
        <v>DevOps</v>
      </c>
      <c r="H8" s="78" t="n">
        <f aca="false">C8/A8</f>
        <v>8000</v>
      </c>
      <c r="I8" s="78" t="n">
        <f aca="false">F8/A8</f>
        <v>9604.1664</v>
      </c>
      <c r="J8" s="78" t="n">
        <f aca="false">A8*$E$3</f>
        <v>20800.28</v>
      </c>
      <c r="K8" s="80" t="n">
        <f aca="false">F8/J8</f>
        <v>2.3086627680012</v>
      </c>
      <c r="L8" s="80" t="n">
        <f aca="false">C8/J8</f>
        <v>1.92305103585144</v>
      </c>
    </row>
    <row r="9" customFormat="false" ht="15" hidden="false" customHeight="true" outlineLevel="0" collapsed="false">
      <c r="A9" s="19" t="n">
        <v>10</v>
      </c>
      <c r="B9" s="15" t="n">
        <f aca="false">MAX('Mgmt Assumptions'!$B$9,CEILING(A9/'Mgmt Assumptions'!$B$8,1))</f>
        <v>2</v>
      </c>
      <c r="C9" s="77" t="n">
        <f aca="false">B9*'Mgmt Assumptions'!$B$7</f>
        <v>40000</v>
      </c>
      <c r="D9" s="78" t="n">
        <f aca="false">'Mgmt Assumptions'!$B$16+'Mgmt Assumptions'!$B$17+A9*$C$3</f>
        <v>30041.664</v>
      </c>
      <c r="E9" s="15" t="n">
        <f aca="false">MAX('Mgmt Assumptions'!$B$11,CEILING(A9/'Mgmt Assumptions'!$B$10,1))</f>
        <v>1</v>
      </c>
      <c r="F9" s="78" t="n">
        <f aca="false">'Mgmt Assumptions'!$B$16+A9*$C$3+E9*'Mgmt Assumptions'!$B$7</f>
        <v>48041.664</v>
      </c>
      <c r="G9" s="79" t="str">
        <f aca="false">IF(F9&lt;C9,"Hybrid","DevOps")</f>
        <v>DevOps</v>
      </c>
      <c r="H9" s="78" t="n">
        <f aca="false">C9/A9</f>
        <v>4000</v>
      </c>
      <c r="I9" s="78" t="n">
        <f aca="false">F9/A9</f>
        <v>4804.1664</v>
      </c>
      <c r="J9" s="78" t="n">
        <f aca="false">A9*$E$3</f>
        <v>41600.56</v>
      </c>
      <c r="K9" s="80" t="n">
        <f aca="false">F9/J9</f>
        <v>1.15483214649034</v>
      </c>
      <c r="L9" s="80" t="n">
        <f aca="false">C9/J9</f>
        <v>0.96152551792572</v>
      </c>
    </row>
    <row r="10" customFormat="false" ht="15" hidden="false" customHeight="true" outlineLevel="0" collapsed="false">
      <c r="A10" s="19" t="n">
        <v>25</v>
      </c>
      <c r="B10" s="15" t="n">
        <f aca="false">MAX('Mgmt Assumptions'!$B$9,CEILING(A10/'Mgmt Assumptions'!$B$8,1))</f>
        <v>2</v>
      </c>
      <c r="C10" s="77" t="n">
        <f aca="false">B10*'Mgmt Assumptions'!$B$7</f>
        <v>40000</v>
      </c>
      <c r="D10" s="78" t="n">
        <f aca="false">'Mgmt Assumptions'!$B$16+'Mgmt Assumptions'!$B$17+A10*$C$3</f>
        <v>30104.16</v>
      </c>
      <c r="E10" s="15" t="n">
        <f aca="false">MAX('Mgmt Assumptions'!$B$11,CEILING(A10/'Mgmt Assumptions'!$B$10,1))</f>
        <v>1</v>
      </c>
      <c r="F10" s="78" t="n">
        <f aca="false">'Mgmt Assumptions'!$B$16+A10*$C$3+E10*'Mgmt Assumptions'!$B$7</f>
        <v>48104.16</v>
      </c>
      <c r="G10" s="79" t="str">
        <f aca="false">IF(F10&lt;C10,"Hybrid","DevOps")</f>
        <v>DevOps</v>
      </c>
      <c r="H10" s="78" t="n">
        <f aca="false">C10/A10</f>
        <v>1600</v>
      </c>
      <c r="I10" s="78" t="n">
        <f aca="false">F10/A10</f>
        <v>1924.1664</v>
      </c>
      <c r="J10" s="78" t="n">
        <f aca="false">A10*$E$3</f>
        <v>104001.4</v>
      </c>
      <c r="K10" s="80" t="n">
        <f aca="false">F10/J10</f>
        <v>0.462533773583817</v>
      </c>
      <c r="L10" s="80" t="n">
        <f aca="false">C10/J10</f>
        <v>0.384610207170288</v>
      </c>
    </row>
    <row r="11" customFormat="false" ht="15" hidden="false" customHeight="true" outlineLevel="0" collapsed="false">
      <c r="A11" s="19" t="n">
        <v>50</v>
      </c>
      <c r="B11" s="15" t="n">
        <f aca="false">MAX('Mgmt Assumptions'!$B$9,CEILING(A11/'Mgmt Assumptions'!$B$8,1))</f>
        <v>2</v>
      </c>
      <c r="C11" s="77" t="n">
        <f aca="false">B11*'Mgmt Assumptions'!$B$7</f>
        <v>40000</v>
      </c>
      <c r="D11" s="78" t="n">
        <f aca="false">'Mgmt Assumptions'!$B$16+'Mgmt Assumptions'!$B$17+A11*$C$3</f>
        <v>30208.32</v>
      </c>
      <c r="E11" s="15" t="n">
        <f aca="false">MAX('Mgmt Assumptions'!$B$11,CEILING(A11/'Mgmt Assumptions'!$B$10,1))</f>
        <v>1</v>
      </c>
      <c r="F11" s="78" t="n">
        <f aca="false">'Mgmt Assumptions'!$B$16+A11*$C$3+E11*'Mgmt Assumptions'!$B$7</f>
        <v>48208.32</v>
      </c>
      <c r="G11" s="79" t="str">
        <f aca="false">IF(F11&lt;C11,"Hybrid","DevOps")</f>
        <v>DevOps</v>
      </c>
      <c r="H11" s="78" t="n">
        <f aca="false">C11/A11</f>
        <v>800</v>
      </c>
      <c r="I11" s="78" t="n">
        <f aca="false">F11/A11</f>
        <v>964.1664</v>
      </c>
      <c r="J11" s="78" t="n">
        <f aca="false">A11*$E$3</f>
        <v>208002.8</v>
      </c>
      <c r="K11" s="80" t="n">
        <f aca="false">F11/J11</f>
        <v>0.231767649281644</v>
      </c>
      <c r="L11" s="80" t="n">
        <f aca="false">C11/J11</f>
        <v>0.192305103585144</v>
      </c>
    </row>
    <row r="12" customFormat="false" ht="15" hidden="false" customHeight="true" outlineLevel="0" collapsed="false">
      <c r="A12" s="19" t="n">
        <v>60</v>
      </c>
      <c r="B12" s="15" t="n">
        <f aca="false">MAX('Mgmt Assumptions'!$B$9,CEILING(A12/'Mgmt Assumptions'!$B$8,1))</f>
        <v>2</v>
      </c>
      <c r="C12" s="77" t="n">
        <f aca="false">B12*'Mgmt Assumptions'!$B$7</f>
        <v>40000</v>
      </c>
      <c r="D12" s="78" t="n">
        <f aca="false">'Mgmt Assumptions'!$B$16+'Mgmt Assumptions'!$B$17+A12*$C$3</f>
        <v>30249.984</v>
      </c>
      <c r="E12" s="15" t="n">
        <f aca="false">MAX('Mgmt Assumptions'!$B$11,CEILING(A12/'Mgmt Assumptions'!$B$10,1))</f>
        <v>1</v>
      </c>
      <c r="F12" s="78" t="n">
        <f aca="false">'Mgmt Assumptions'!$B$16+A12*$C$3+E12*'Mgmt Assumptions'!$B$7</f>
        <v>48249.984</v>
      </c>
      <c r="G12" s="79" t="str">
        <f aca="false">IF(F12&lt;C12,"Hybrid","DevOps")</f>
        <v>DevOps</v>
      </c>
      <c r="H12" s="78" t="n">
        <f aca="false">C12/A12</f>
        <v>666.666666666667</v>
      </c>
      <c r="I12" s="78" t="n">
        <f aca="false">F12/A12</f>
        <v>804.1664</v>
      </c>
      <c r="J12" s="78" t="n">
        <f aca="false">A12*$E$3</f>
        <v>249603.36</v>
      </c>
      <c r="K12" s="80" t="n">
        <f aca="false">F12/J12</f>
        <v>0.193306628564615</v>
      </c>
      <c r="L12" s="80" t="n">
        <f aca="false">C12/J12</f>
        <v>0.16025425298762</v>
      </c>
    </row>
    <row r="13" customFormat="false" ht="15" hidden="false" customHeight="true" outlineLevel="0" collapsed="false">
      <c r="A13" s="19" t="n">
        <v>90</v>
      </c>
      <c r="B13" s="15" t="n">
        <f aca="false">MAX('Mgmt Assumptions'!$B$9,CEILING(A13/'Mgmt Assumptions'!$B$8,1))</f>
        <v>3</v>
      </c>
      <c r="C13" s="78" t="n">
        <f aca="false">B13*'Mgmt Assumptions'!$B$7</f>
        <v>60000</v>
      </c>
      <c r="D13" s="78" t="n">
        <f aca="false">'Mgmt Assumptions'!$B$16+'Mgmt Assumptions'!$B$17+A13*$C$3</f>
        <v>30374.976</v>
      </c>
      <c r="E13" s="15" t="n">
        <f aca="false">MAX('Mgmt Assumptions'!$B$11,CEILING(A13/'Mgmt Assumptions'!$B$10,1))</f>
        <v>1</v>
      </c>
      <c r="F13" s="77" t="n">
        <f aca="false">'Mgmt Assumptions'!$B$16+A13*$C$3+E13*'Mgmt Assumptions'!$B$7</f>
        <v>48374.976</v>
      </c>
      <c r="G13" s="81" t="str">
        <f aca="false">IF(F13&lt;C13,"Hybrid","DevOps")</f>
        <v>Hybrid</v>
      </c>
      <c r="H13" s="78" t="n">
        <f aca="false">C13/A13</f>
        <v>666.666666666667</v>
      </c>
      <c r="I13" s="78" t="n">
        <f aca="false">F13/A13</f>
        <v>537.499733333333</v>
      </c>
      <c r="J13" s="78" t="n">
        <f aca="false">A13*$E$3</f>
        <v>374405.04</v>
      </c>
      <c r="K13" s="80" t="n">
        <f aca="false">F13/J13</f>
        <v>0.129204927369567</v>
      </c>
      <c r="L13" s="80" t="n">
        <f aca="false">C13/J13</f>
        <v>0.16025425298762</v>
      </c>
    </row>
    <row r="14" customFormat="false" ht="15" hidden="false" customHeight="true" outlineLevel="0" collapsed="false">
      <c r="A14" s="19" t="n">
        <v>100</v>
      </c>
      <c r="B14" s="15" t="n">
        <f aca="false">MAX('Mgmt Assumptions'!$B$9,CEILING(A14/'Mgmt Assumptions'!$B$8,1))</f>
        <v>4</v>
      </c>
      <c r="C14" s="78" t="n">
        <f aca="false">B14*'Mgmt Assumptions'!$B$7</f>
        <v>80000</v>
      </c>
      <c r="D14" s="78" t="n">
        <f aca="false">'Mgmt Assumptions'!$B$16+'Mgmt Assumptions'!$B$17+A14*$C$3</f>
        <v>30416.64</v>
      </c>
      <c r="E14" s="15" t="n">
        <f aca="false">MAX('Mgmt Assumptions'!$B$11,CEILING(A14/'Mgmt Assumptions'!$B$10,1))</f>
        <v>1</v>
      </c>
      <c r="F14" s="77" t="n">
        <f aca="false">'Mgmt Assumptions'!$B$16+A14*$C$3+E14*'Mgmt Assumptions'!$B$7</f>
        <v>48416.64</v>
      </c>
      <c r="G14" s="81" t="str">
        <f aca="false">IF(F14&lt;C14,"Hybrid","DevOps")</f>
        <v>Hybrid</v>
      </c>
      <c r="H14" s="78" t="n">
        <f aca="false">C14/A14</f>
        <v>800</v>
      </c>
      <c r="I14" s="78" t="n">
        <f aca="false">F14/A14</f>
        <v>484.1664</v>
      </c>
      <c r="J14" s="78" t="n">
        <f aca="false">A14*$E$3</f>
        <v>416005.6</v>
      </c>
      <c r="K14" s="80" t="n">
        <f aca="false">F14/J14</f>
        <v>0.116384587130558</v>
      </c>
      <c r="L14" s="80" t="n">
        <f aca="false">C14/J14</f>
        <v>0.192305103585144</v>
      </c>
    </row>
    <row r="15" customFormat="false" ht="15" hidden="false" customHeight="true" outlineLevel="0" collapsed="false">
      <c r="A15" s="19" t="n">
        <v>250</v>
      </c>
      <c r="B15" s="15" t="n">
        <f aca="false">MAX('Mgmt Assumptions'!$B$9,CEILING(A15/'Mgmt Assumptions'!$B$8,1))</f>
        <v>9</v>
      </c>
      <c r="C15" s="78" t="n">
        <f aca="false">B15*'Mgmt Assumptions'!$B$7</f>
        <v>180000</v>
      </c>
      <c r="D15" s="78" t="n">
        <f aca="false">'Mgmt Assumptions'!$B$16+'Mgmt Assumptions'!$B$17+A15*$C$3</f>
        <v>31041.6</v>
      </c>
      <c r="E15" s="15" t="n">
        <f aca="false">MAX('Mgmt Assumptions'!$B$11,CEILING(A15/'Mgmt Assumptions'!$B$10,1))</f>
        <v>1</v>
      </c>
      <c r="F15" s="77" t="n">
        <f aca="false">'Mgmt Assumptions'!$B$16+A15*$C$3+E15*'Mgmt Assumptions'!$B$7</f>
        <v>49041.6</v>
      </c>
      <c r="G15" s="81" t="str">
        <f aca="false">IF(F15&lt;C15,"Hybrid","DevOps")</f>
        <v>Hybrid</v>
      </c>
      <c r="H15" s="78" t="n">
        <f aca="false">C15/A15</f>
        <v>720</v>
      </c>
      <c r="I15" s="78" t="n">
        <f aca="false">F15/A15</f>
        <v>196.1664</v>
      </c>
      <c r="J15" s="78" t="n">
        <f aca="false">A15*$E$3</f>
        <v>1040014</v>
      </c>
      <c r="K15" s="80" t="n">
        <f aca="false">F15/J15</f>
        <v>0.047154749839906</v>
      </c>
      <c r="L15" s="80" t="n">
        <f aca="false">C15/J15</f>
        <v>0.17307459322663</v>
      </c>
    </row>
    <row r="16" customFormat="false" ht="15" hidden="false" customHeight="true" outlineLevel="0" collapsed="false">
      <c r="A16" s="19" t="n">
        <v>334</v>
      </c>
      <c r="B16" s="15" t="n">
        <f aca="false">MAX('Mgmt Assumptions'!$B$9,CEILING(A16/'Mgmt Assumptions'!$B$8,1))</f>
        <v>12</v>
      </c>
      <c r="C16" s="78" t="n">
        <f aca="false">B16*'Mgmt Assumptions'!$B$7</f>
        <v>240000</v>
      </c>
      <c r="D16" s="78" t="n">
        <f aca="false">'Mgmt Assumptions'!$B$16+'Mgmt Assumptions'!$B$17+A16*$C$3</f>
        <v>31391.5776</v>
      </c>
      <c r="E16" s="15" t="n">
        <f aca="false">MAX('Mgmt Assumptions'!$B$11,CEILING(A16/'Mgmt Assumptions'!$B$10,1))</f>
        <v>2</v>
      </c>
      <c r="F16" s="77" t="n">
        <f aca="false">'Mgmt Assumptions'!$B$16+A16*$C$3+E16*'Mgmt Assumptions'!$B$7</f>
        <v>69391.5776</v>
      </c>
      <c r="G16" s="81" t="str">
        <f aca="false">IF(F16&lt;C16,"Hybrid","DevOps")</f>
        <v>Hybrid</v>
      </c>
      <c r="H16" s="78" t="n">
        <f aca="false">C16/A16</f>
        <v>718.562874251497</v>
      </c>
      <c r="I16" s="78" t="n">
        <f aca="false">F16/A16</f>
        <v>207.759214371257</v>
      </c>
      <c r="J16" s="78" t="n">
        <f aca="false">A16*$E$3</f>
        <v>1389458.704</v>
      </c>
      <c r="K16" s="80" t="n">
        <f aca="false">F16/J16</f>
        <v>0.049941446550541</v>
      </c>
      <c r="L16" s="80" t="n">
        <f aca="false">C16/J16</f>
        <v>0.172729134956716</v>
      </c>
    </row>
    <row r="17" customFormat="false" ht="15" hidden="false" customHeight="true" outlineLevel="0" collapsed="false">
      <c r="A17" s="19" t="n">
        <v>500</v>
      </c>
      <c r="B17" s="15" t="n">
        <f aca="false">MAX('Mgmt Assumptions'!$B$9,CEILING(A17/'Mgmt Assumptions'!$B$8,1))</f>
        <v>17</v>
      </c>
      <c r="C17" s="78" t="n">
        <f aca="false">B17*'Mgmt Assumptions'!$B$7</f>
        <v>340000</v>
      </c>
      <c r="D17" s="78" t="n">
        <f aca="false">'Mgmt Assumptions'!$B$16+'Mgmt Assumptions'!$B$17+A17*$C$3</f>
        <v>32083.2</v>
      </c>
      <c r="E17" s="15" t="n">
        <f aca="false">MAX('Mgmt Assumptions'!$B$11,CEILING(A17/'Mgmt Assumptions'!$B$10,1))</f>
        <v>2</v>
      </c>
      <c r="F17" s="77" t="n">
        <f aca="false">'Mgmt Assumptions'!$B$16+A17*$C$3+E17*'Mgmt Assumptions'!$B$7</f>
        <v>70083.2</v>
      </c>
      <c r="G17" s="81" t="str">
        <f aca="false">IF(F17&lt;C17,"Hybrid","DevOps")</f>
        <v>Hybrid</v>
      </c>
      <c r="H17" s="78" t="n">
        <f aca="false">C17/A17</f>
        <v>680</v>
      </c>
      <c r="I17" s="78" t="n">
        <f aca="false">F17/A17</f>
        <v>140.1664</v>
      </c>
      <c r="J17" s="78" t="n">
        <f aca="false">A17*$E$3</f>
        <v>2080028</v>
      </c>
      <c r="K17" s="80" t="n">
        <f aca="false">F17/J17</f>
        <v>0.0336933925889459</v>
      </c>
      <c r="L17" s="80" t="n">
        <f aca="false">C17/J17</f>
        <v>0.163459338047372</v>
      </c>
    </row>
    <row r="18" customFormat="false" ht="15" hidden="false" customHeight="true" outlineLevel="0" collapsed="false">
      <c r="A18" s="19" t="n">
        <v>1000</v>
      </c>
      <c r="B18" s="15" t="n">
        <f aca="false">MAX('Mgmt Assumptions'!$B$9,CEILING(A18/'Mgmt Assumptions'!$B$8,1))</f>
        <v>34</v>
      </c>
      <c r="C18" s="78" t="n">
        <f aca="false">B18*'Mgmt Assumptions'!$B$7</f>
        <v>680000</v>
      </c>
      <c r="D18" s="78" t="n">
        <f aca="false">'Mgmt Assumptions'!$B$16+'Mgmt Assumptions'!$B$17+A18*$C$3</f>
        <v>34166.4</v>
      </c>
      <c r="E18" s="15" t="n">
        <f aca="false">MAX('Mgmt Assumptions'!$B$11,CEILING(A18/'Mgmt Assumptions'!$B$10,1))</f>
        <v>4</v>
      </c>
      <c r="F18" s="77" t="n">
        <f aca="false">'Mgmt Assumptions'!$B$16+A18*$C$3+E18*'Mgmt Assumptions'!$B$7</f>
        <v>112166.4</v>
      </c>
      <c r="G18" s="81" t="str">
        <f aca="false">IF(F18&lt;C18,"Hybrid","DevOps")</f>
        <v>Hybrid</v>
      </c>
      <c r="H18" s="78" t="n">
        <f aca="false">C18/A18</f>
        <v>680</v>
      </c>
      <c r="I18" s="78" t="n">
        <f aca="false">F18/A18</f>
        <v>112.1664</v>
      </c>
      <c r="J18" s="78" t="n">
        <f aca="false">A18*$E$3</f>
        <v>4160056</v>
      </c>
      <c r="K18" s="80" t="n">
        <f aca="false">F18/J18</f>
        <v>0.0269627139634659</v>
      </c>
      <c r="L18" s="80" t="n">
        <f aca="false">C18/J18</f>
        <v>0.163459338047372</v>
      </c>
    </row>
    <row r="19" customFormat="false" ht="15" hidden="false" customHeight="true" outlineLevel="0" collapsed="false">
      <c r="A19" s="19" t="n">
        <v>2500</v>
      </c>
      <c r="B19" s="15" t="n">
        <f aca="false">MAX('Mgmt Assumptions'!$B$9,CEILING(A19/'Mgmt Assumptions'!$B$8,1))</f>
        <v>84</v>
      </c>
      <c r="C19" s="78" t="n">
        <f aca="false">B19*'Mgmt Assumptions'!$B$7</f>
        <v>1680000</v>
      </c>
      <c r="D19" s="78" t="n">
        <f aca="false">'Mgmt Assumptions'!$B$16+'Mgmt Assumptions'!$B$17+A19*$C$3</f>
        <v>40416</v>
      </c>
      <c r="E19" s="15" t="n">
        <f aca="false">MAX('Mgmt Assumptions'!$B$11,CEILING(A19/'Mgmt Assumptions'!$B$10,1))</f>
        <v>9</v>
      </c>
      <c r="F19" s="77" t="n">
        <f aca="false">'Mgmt Assumptions'!$B$16+A19*$C$3+E19*'Mgmt Assumptions'!$B$7</f>
        <v>218416</v>
      </c>
      <c r="G19" s="81" t="str">
        <f aca="false">IF(F19&lt;C19,"Hybrid","DevOps")</f>
        <v>Hybrid</v>
      </c>
      <c r="H19" s="78" t="n">
        <f aca="false">C19/A19</f>
        <v>672</v>
      </c>
      <c r="I19" s="78" t="n">
        <f aca="false">F19/A19</f>
        <v>87.3664</v>
      </c>
      <c r="J19" s="78" t="n">
        <f aca="false">A19*$E$3</f>
        <v>10400140</v>
      </c>
      <c r="K19" s="80" t="n">
        <f aca="false">F19/J19</f>
        <v>0.0210012557523264</v>
      </c>
      <c r="L19" s="80" t="n">
        <f aca="false">C19/J19</f>
        <v>0.161536287011521</v>
      </c>
    </row>
    <row r="20" customFormat="false" ht="15" hidden="false" customHeight="true" outlineLevel="0" collapsed="false">
      <c r="A20" s="19" t="n">
        <v>5000</v>
      </c>
      <c r="B20" s="15" t="n">
        <f aca="false">MAX('Mgmt Assumptions'!$B$9,CEILING(A20/'Mgmt Assumptions'!$B$8,1))</f>
        <v>167</v>
      </c>
      <c r="C20" s="78" t="n">
        <f aca="false">B20*'Mgmt Assumptions'!$B$7</f>
        <v>3340000</v>
      </c>
      <c r="D20" s="78" t="n">
        <f aca="false">'Mgmt Assumptions'!$B$16+'Mgmt Assumptions'!$B$17+A20*$C$3</f>
        <v>50832</v>
      </c>
      <c r="E20" s="15" t="n">
        <f aca="false">MAX('Mgmt Assumptions'!$B$11,CEILING(A20/'Mgmt Assumptions'!$B$10,1))</f>
        <v>17</v>
      </c>
      <c r="F20" s="77" t="n">
        <f aca="false">'Mgmt Assumptions'!$B$16+A20*$C$3+E20*'Mgmt Assumptions'!$B$7</f>
        <v>388832</v>
      </c>
      <c r="G20" s="81" t="str">
        <f aca="false">IF(F20&lt;C20,"Hybrid","DevOps")</f>
        <v>Hybrid</v>
      </c>
      <c r="H20" s="78" t="n">
        <f aca="false">C20/A20</f>
        <v>668</v>
      </c>
      <c r="I20" s="78" t="n">
        <f aca="false">F20/A20</f>
        <v>77.7664</v>
      </c>
      <c r="J20" s="78" t="n">
        <f aca="false">A20*$E$3</f>
        <v>20800280</v>
      </c>
      <c r="K20" s="80" t="n">
        <f aca="false">F20/J20</f>
        <v>0.0186935945093047</v>
      </c>
      <c r="L20" s="80" t="n">
        <f aca="false">C20/J20</f>
        <v>0.160574761493595</v>
      </c>
    </row>
    <row r="21" customFormat="false" ht="15" hidden="false" customHeight="true" outlineLevel="0" collapsed="false">
      <c r="A21" s="19" t="n">
        <v>10000</v>
      </c>
      <c r="B21" s="15" t="n">
        <f aca="false">MAX('Mgmt Assumptions'!$B$9,CEILING(A21/'Mgmt Assumptions'!$B$8,1))</f>
        <v>334</v>
      </c>
      <c r="C21" s="78" t="n">
        <f aca="false">B21*'Mgmt Assumptions'!$B$7</f>
        <v>6680000</v>
      </c>
      <c r="D21" s="78" t="n">
        <f aca="false">'Mgmt Assumptions'!$B$16+'Mgmt Assumptions'!$B$17+A21*$C$3</f>
        <v>71664</v>
      </c>
      <c r="E21" s="15" t="n">
        <f aca="false">MAX('Mgmt Assumptions'!$B$11,CEILING(A21/'Mgmt Assumptions'!$B$10,1))</f>
        <v>34</v>
      </c>
      <c r="F21" s="77" t="n">
        <f aca="false">'Mgmt Assumptions'!$B$16+A21*$C$3+E21*'Mgmt Assumptions'!$B$7</f>
        <v>749664</v>
      </c>
      <c r="G21" s="81" t="str">
        <f aca="false">IF(F21&lt;C21,"Hybrid","DevOps")</f>
        <v>Hybrid</v>
      </c>
      <c r="H21" s="78" t="n">
        <f aca="false">C21/A21</f>
        <v>668</v>
      </c>
      <c r="I21" s="78" t="n">
        <f aca="false">F21/A21</f>
        <v>74.9664</v>
      </c>
      <c r="J21" s="78" t="n">
        <f aca="false">A21*$E$3</f>
        <v>41600560</v>
      </c>
      <c r="K21" s="80" t="n">
        <f aca="false">F21/J21</f>
        <v>0.0180205266467567</v>
      </c>
      <c r="L21" s="80" t="n">
        <f aca="false">C21/J21</f>
        <v>0.160574761493595</v>
      </c>
    </row>
    <row r="22" customFormat="false" ht="15" hidden="false" customHeight="true" outlineLevel="0" collapsed="false">
      <c r="A22" s="19" t="n">
        <v>12074</v>
      </c>
      <c r="B22" s="15" t="n">
        <f aca="false">MAX('Mgmt Assumptions'!$B$9,CEILING(A22/'Mgmt Assumptions'!$B$8,1))</f>
        <v>403</v>
      </c>
      <c r="C22" s="78" t="n">
        <f aca="false">B22*'Mgmt Assumptions'!$B$7</f>
        <v>8060000</v>
      </c>
      <c r="D22" s="78" t="n">
        <f aca="false">'Mgmt Assumptions'!$B$16+'Mgmt Assumptions'!$B$17+A22*$C$3</f>
        <v>80305.1136</v>
      </c>
      <c r="E22" s="15" t="n">
        <f aca="false">MAX('Mgmt Assumptions'!$B$11,CEILING(A22/'Mgmt Assumptions'!$B$10,1))</f>
        <v>41</v>
      </c>
      <c r="F22" s="77" t="n">
        <f aca="false">'Mgmt Assumptions'!$B$16+A22*$C$3+E22*'Mgmt Assumptions'!$B$7</f>
        <v>898305.1136</v>
      </c>
      <c r="G22" s="81" t="str">
        <f aca="false">IF(F22&lt;C22,"Hybrid","DevOps")</f>
        <v>Hybrid</v>
      </c>
      <c r="H22" s="78" t="n">
        <f aca="false">C22/A22</f>
        <v>667.550107669372</v>
      </c>
      <c r="I22" s="78" t="n">
        <f aca="false">F22/A22</f>
        <v>74.3999597150903</v>
      </c>
      <c r="J22" s="78" t="n">
        <f aca="false">A22*$E$3</f>
        <v>50228516.144</v>
      </c>
      <c r="K22" s="80" t="n">
        <f aca="false">F22/J22</f>
        <v>0.0178843649496762</v>
      </c>
      <c r="L22" s="80" t="n">
        <f aca="false">C22/J22</f>
        <v>0.160466615754541</v>
      </c>
    </row>
    <row r="24" customFormat="false" ht="15" hidden="false" customHeight="true" outlineLevel="0" collapsed="false">
      <c r="A24" s="82" t="s">
        <v>385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</row>
    <row r="25" customFormat="false" ht="15" hidden="false" customHeight="true" outlineLevel="0" collapsed="false">
      <c r="A25" s="9" t="s">
        <v>386</v>
      </c>
      <c r="C25" s="15" t="n">
        <f aca="false">INDEX(A6:A22,MATCH(TRUE(),INDEX(F6:F22&lt;C6:C22,0),0))</f>
        <v>90</v>
      </c>
    </row>
    <row r="26" customFormat="false" ht="15" hidden="false" customHeight="true" outlineLevel="0" collapsed="false">
      <c r="A26" s="9" t="s">
        <v>387</v>
      </c>
      <c r="C26" s="15" t="n">
        <f aca="false">INDEX(A6:A22,MATCH(TRUE(),INDEX(D6:D22&lt;C6:C22,0),0))</f>
        <v>1</v>
      </c>
    </row>
    <row r="27" customFormat="false" ht="15" hidden="false" customHeight="true" outlineLevel="0" collapsed="false">
      <c r="A27" s="9" t="s">
        <v>388</v>
      </c>
      <c r="C27" s="78" t="n">
        <f aca="false">C22-F22</f>
        <v>7161694.8864</v>
      </c>
    </row>
    <row r="28" customFormat="false" ht="15" hidden="false" customHeight="true" outlineLevel="0" collapsed="false">
      <c r="A28" s="9" t="s">
        <v>389</v>
      </c>
      <c r="C28" s="80" t="n">
        <f aca="false">F22/C22</f>
        <v>0.111452247344913</v>
      </c>
    </row>
    <row r="29" customFormat="false" ht="15" hidden="false" customHeight="true" outlineLevel="0" collapsed="false">
      <c r="A29" s="53" t="s">
        <v>390</v>
      </c>
    </row>
    <row r="30" customFormat="false" ht="15" hidden="false" customHeight="true" outlineLevel="0" collapsed="false">
      <c r="A30" s="53" t="s">
        <v>391</v>
      </c>
    </row>
    <row r="31" customFormat="false" ht="15" hidden="false" customHeight="true" outlineLevel="0" collapsed="false">
      <c r="A31" s="53" t="s">
        <v>392</v>
      </c>
    </row>
    <row r="32" customFormat="false" ht="15" hidden="false" customHeight="true" outlineLevel="0" collapsed="false">
      <c r="A32" s="53" t="s">
        <v>393</v>
      </c>
    </row>
    <row r="33" customFormat="false" ht="15" hidden="false" customHeight="true" outlineLevel="0" collapsed="false">
      <c r="A33" s="53" t="s">
        <v>394</v>
      </c>
    </row>
    <row r="34" customFormat="false" ht="15" hidden="false" customHeight="true" outlineLevel="0" collapsed="false">
      <c r="A34" s="53" t="s">
        <v>395</v>
      </c>
    </row>
    <row r="35" customFormat="false" ht="15" hidden="false" customHeight="true" outlineLevel="0" collapsed="false">
      <c r="A35" s="53" t="s">
        <v>396</v>
      </c>
    </row>
    <row r="36" customFormat="false" ht="15" hidden="false" customHeight="true" outlineLevel="0" collapsed="false">
      <c r="A36" s="53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3"/>
    <col collapsed="false" customWidth="true" hidden="false" outlineLevel="0" max="4" min="4" style="1" width="44"/>
    <col collapsed="false" customWidth="true" hidden="false" outlineLevel="0" max="10" min="5" style="1" width="13"/>
  </cols>
  <sheetData>
    <row r="1" customFormat="false" ht="21.75" hidden="false" customHeight="true" outlineLevel="0" collapsed="false">
      <c r="A1" s="51" t="s">
        <v>398</v>
      </c>
      <c r="B1" s="52"/>
      <c r="C1" s="52"/>
      <c r="D1" s="52"/>
      <c r="E1" s="52"/>
      <c r="F1" s="52"/>
      <c r="G1" s="52"/>
      <c r="H1" s="52"/>
      <c r="I1" s="52"/>
      <c r="J1" s="52"/>
    </row>
    <row r="2" customFormat="false" ht="15" hidden="false" customHeight="true" outlineLevel="0" collapsed="false">
      <c r="A2" s="53" t="s">
        <v>399</v>
      </c>
    </row>
    <row r="4" customFormat="false" ht="15" hidden="false" customHeight="true" outlineLevel="0" collapsed="false">
      <c r="A4" s="82" t="s">
        <v>400</v>
      </c>
      <c r="B4" s="83"/>
      <c r="C4" s="83"/>
      <c r="D4" s="83"/>
      <c r="E4" s="83"/>
      <c r="F4" s="83"/>
      <c r="G4" s="83"/>
      <c r="H4" s="83"/>
      <c r="I4" s="83"/>
      <c r="J4" s="83"/>
    </row>
    <row r="5" customFormat="false" ht="15" hidden="false" customHeight="true" outlineLevel="0" collapsed="false">
      <c r="A5" s="9" t="s">
        <v>401</v>
      </c>
      <c r="B5" s="84" t="n">
        <v>1.5</v>
      </c>
      <c r="C5" s="11" t="s">
        <v>402</v>
      </c>
      <c r="D5" s="85" t="s">
        <v>403</v>
      </c>
    </row>
    <row r="6" customFormat="false" ht="15" hidden="false" customHeight="true" outlineLevel="0" collapsed="false">
      <c r="A6" s="9" t="s">
        <v>15</v>
      </c>
      <c r="B6" s="23" t="n">
        <f aca="false">Assumptions!$B$10</f>
        <v>730</v>
      </c>
      <c r="C6" s="11" t="s">
        <v>16</v>
      </c>
    </row>
    <row r="7" customFormat="false" ht="15" hidden="false" customHeight="true" outlineLevel="0" collapsed="false">
      <c r="A7" s="9" t="s">
        <v>404</v>
      </c>
      <c r="B7" s="78" t="n">
        <f aca="false">B5*B6</f>
        <v>1095</v>
      </c>
      <c r="C7" s="11" t="s">
        <v>308</v>
      </c>
    </row>
    <row r="8" customFormat="false" ht="15" hidden="false" customHeight="true" outlineLevel="0" collapsed="false">
      <c r="A8" s="9" t="s">
        <v>405</v>
      </c>
      <c r="B8" s="19" t="n">
        <v>5000</v>
      </c>
      <c r="C8" s="11" t="s">
        <v>406</v>
      </c>
      <c r="D8" s="85" t="s">
        <v>407</v>
      </c>
    </row>
    <row r="9" customFormat="false" ht="15" hidden="false" customHeight="true" outlineLevel="0" collapsed="false">
      <c r="A9" s="9" t="s">
        <v>408</v>
      </c>
      <c r="B9" s="86" t="n">
        <v>0.7</v>
      </c>
      <c r="D9" s="85" t="s">
        <v>409</v>
      </c>
    </row>
    <row r="10" customFormat="false" ht="15" hidden="false" customHeight="true" outlineLevel="0" collapsed="false">
      <c r="A10" s="9" t="s">
        <v>410</v>
      </c>
      <c r="B10" s="15" t="n">
        <f aca="false">B8*3600*B6*B9</f>
        <v>9198000000</v>
      </c>
      <c r="C10" s="11" t="s">
        <v>411</v>
      </c>
    </row>
    <row r="12" customFormat="false" ht="15" hidden="false" customHeight="true" outlineLevel="0" collapsed="false">
      <c r="A12" s="82" t="s">
        <v>412</v>
      </c>
      <c r="B12" s="83"/>
      <c r="C12" s="83"/>
      <c r="D12" s="83"/>
      <c r="E12" s="83"/>
      <c r="F12" s="83"/>
      <c r="G12" s="83"/>
      <c r="H12" s="83"/>
      <c r="I12" s="83"/>
      <c r="J12" s="83"/>
    </row>
    <row r="13" customFormat="false" ht="15" hidden="false" customHeight="true" outlineLevel="0" collapsed="false">
      <c r="A13" s="9" t="s">
        <v>413</v>
      </c>
      <c r="B13" s="23" t="n">
        <f aca="false">'Agent Cost'!$B$5*('Agent Cost'!$C$5+'Agent Cost'!$E$5)</f>
        <v>3240000</v>
      </c>
      <c r="C13" s="11" t="s">
        <v>414</v>
      </c>
      <c r="D13" s="85" t="s">
        <v>415</v>
      </c>
    </row>
    <row r="14" customFormat="false" ht="15" hidden="false" customHeight="true" outlineLevel="0" collapsed="false">
      <c r="A14" s="9" t="s">
        <v>416</v>
      </c>
      <c r="B14" s="76" t="n">
        <f aca="false">'Agent Cost'!$H$5</f>
        <v>2.6064</v>
      </c>
      <c r="C14" s="11" t="s">
        <v>417</v>
      </c>
    </row>
    <row r="15" customFormat="false" ht="15" hidden="false" customHeight="true" outlineLevel="0" collapsed="false">
      <c r="A15" s="9" t="s">
        <v>418</v>
      </c>
      <c r="B15" s="15" t="n">
        <f aca="false">B10/B13</f>
        <v>2838.88888888889</v>
      </c>
      <c r="C15" s="11" t="s">
        <v>419</v>
      </c>
    </row>
    <row r="16" customFormat="false" ht="15" hidden="false" customHeight="true" outlineLevel="0" collapsed="false">
      <c r="A16" s="9" t="s">
        <v>420</v>
      </c>
      <c r="B16" s="15" t="n">
        <f aca="false">B7/B14</f>
        <v>420.1197053407</v>
      </c>
      <c r="C16" s="11" t="s">
        <v>421</v>
      </c>
      <c r="D16" s="85" t="s">
        <v>422</v>
      </c>
    </row>
    <row r="18" customFormat="false" ht="27.75" hidden="false" customHeight="true" outlineLevel="0" collapsed="false">
      <c r="A18" s="22" t="s">
        <v>373</v>
      </c>
      <c r="B18" s="22" t="s">
        <v>423</v>
      </c>
      <c r="C18" s="22" t="s">
        <v>424</v>
      </c>
      <c r="D18" s="22" t="s">
        <v>425</v>
      </c>
      <c r="E18" s="22" t="s">
        <v>426</v>
      </c>
      <c r="F18" s="22" t="s">
        <v>427</v>
      </c>
      <c r="G18" s="22" t="s">
        <v>428</v>
      </c>
      <c r="H18" s="22" t="s">
        <v>429</v>
      </c>
      <c r="I18" s="22" t="s">
        <v>430</v>
      </c>
      <c r="J18" s="22" t="s">
        <v>431</v>
      </c>
    </row>
    <row r="19" customFormat="false" ht="15" hidden="false" customHeight="true" outlineLevel="0" collapsed="false">
      <c r="A19" s="19" t="n">
        <v>1</v>
      </c>
      <c r="B19" s="15" t="n">
        <f aca="false">A19*$B$13</f>
        <v>3240000</v>
      </c>
      <c r="C19" s="15" t="n">
        <f aca="false">CEILING(B19/$B$10,1)</f>
        <v>1</v>
      </c>
      <c r="D19" s="80" t="n">
        <f aca="false">B19/(C19*$B$10)</f>
        <v>0.000352250489236791</v>
      </c>
      <c r="E19" s="78" t="n">
        <f aca="false">C19*$B$7</f>
        <v>1095</v>
      </c>
      <c r="F19" s="71" t="n">
        <f aca="false">E19/A19</f>
        <v>1095</v>
      </c>
      <c r="G19" s="78" t="n">
        <f aca="false">A19*$B$14</f>
        <v>2.6064</v>
      </c>
      <c r="H19" s="71" t="n">
        <f aca="false">$B$14</f>
        <v>2.6064</v>
      </c>
      <c r="I19" s="87" t="str">
        <f aca="false">IF(E19&lt;G19,"Local","API")</f>
        <v>API</v>
      </c>
      <c r="J19" s="80" t="n">
        <f aca="false">E19/G19</f>
        <v>420.1197053407</v>
      </c>
    </row>
    <row r="20" customFormat="false" ht="15" hidden="false" customHeight="true" outlineLevel="0" collapsed="false">
      <c r="A20" s="19" t="n">
        <v>2</v>
      </c>
      <c r="B20" s="15" t="n">
        <f aca="false">A20*$B$13</f>
        <v>6480000</v>
      </c>
      <c r="C20" s="15" t="n">
        <f aca="false">CEILING(B20/$B$10,1)</f>
        <v>1</v>
      </c>
      <c r="D20" s="80" t="n">
        <f aca="false">B20/(C20*$B$10)</f>
        <v>0.000704500978473581</v>
      </c>
      <c r="E20" s="78" t="n">
        <f aca="false">C20*$B$7</f>
        <v>1095</v>
      </c>
      <c r="F20" s="71" t="n">
        <f aca="false">E20/A20</f>
        <v>547.5</v>
      </c>
      <c r="G20" s="78" t="n">
        <f aca="false">A20*$B$14</f>
        <v>5.2128</v>
      </c>
      <c r="H20" s="71" t="n">
        <f aca="false">$B$14</f>
        <v>2.6064</v>
      </c>
      <c r="I20" s="87" t="str">
        <f aca="false">IF(E20&lt;G20,"Local","API")</f>
        <v>API</v>
      </c>
      <c r="J20" s="80" t="n">
        <f aca="false">E20/G20</f>
        <v>210.05985267035</v>
      </c>
    </row>
    <row r="21" customFormat="false" ht="15" hidden="false" customHeight="true" outlineLevel="0" collapsed="false">
      <c r="A21" s="19" t="n">
        <v>5</v>
      </c>
      <c r="B21" s="15" t="n">
        <f aca="false">A21*$B$13</f>
        <v>16200000</v>
      </c>
      <c r="C21" s="15" t="n">
        <f aca="false">CEILING(B21/$B$10,1)</f>
        <v>1</v>
      </c>
      <c r="D21" s="80" t="n">
        <f aca="false">B21/(C21*$B$10)</f>
        <v>0.00176125244618395</v>
      </c>
      <c r="E21" s="78" t="n">
        <f aca="false">C21*$B$7</f>
        <v>1095</v>
      </c>
      <c r="F21" s="71" t="n">
        <f aca="false">E21/A21</f>
        <v>219</v>
      </c>
      <c r="G21" s="78" t="n">
        <f aca="false">A21*$B$14</f>
        <v>13.032</v>
      </c>
      <c r="H21" s="71" t="n">
        <f aca="false">$B$14</f>
        <v>2.6064</v>
      </c>
      <c r="I21" s="87" t="str">
        <f aca="false">IF(E21&lt;G21,"Local","API")</f>
        <v>API</v>
      </c>
      <c r="J21" s="80" t="n">
        <f aca="false">E21/G21</f>
        <v>84.02394106814</v>
      </c>
    </row>
    <row r="22" customFormat="false" ht="15" hidden="false" customHeight="true" outlineLevel="0" collapsed="false">
      <c r="A22" s="19" t="n">
        <v>10</v>
      </c>
      <c r="B22" s="15" t="n">
        <f aca="false">A22*$B$13</f>
        <v>32400000</v>
      </c>
      <c r="C22" s="15" t="n">
        <f aca="false">CEILING(B22/$B$10,1)</f>
        <v>1</v>
      </c>
      <c r="D22" s="80" t="n">
        <f aca="false">B22/(C22*$B$10)</f>
        <v>0.00352250489236791</v>
      </c>
      <c r="E22" s="78" t="n">
        <f aca="false">C22*$B$7</f>
        <v>1095</v>
      </c>
      <c r="F22" s="71" t="n">
        <f aca="false">E22/A22</f>
        <v>109.5</v>
      </c>
      <c r="G22" s="78" t="n">
        <f aca="false">A22*$B$14</f>
        <v>26.064</v>
      </c>
      <c r="H22" s="71" t="n">
        <f aca="false">$B$14</f>
        <v>2.6064</v>
      </c>
      <c r="I22" s="87" t="str">
        <f aca="false">IF(E22&lt;G22,"Local","API")</f>
        <v>API</v>
      </c>
      <c r="J22" s="80" t="n">
        <f aca="false">E22/G22</f>
        <v>42.01197053407</v>
      </c>
    </row>
    <row r="23" customFormat="false" ht="15" hidden="false" customHeight="true" outlineLevel="0" collapsed="false">
      <c r="A23" s="19" t="n">
        <v>25</v>
      </c>
      <c r="B23" s="15" t="n">
        <f aca="false">A23*$B$13</f>
        <v>81000000</v>
      </c>
      <c r="C23" s="15" t="n">
        <f aca="false">CEILING(B23/$B$10,1)</f>
        <v>1</v>
      </c>
      <c r="D23" s="80" t="n">
        <f aca="false">B23/(C23*$B$10)</f>
        <v>0.00880626223091977</v>
      </c>
      <c r="E23" s="78" t="n">
        <f aca="false">C23*$B$7</f>
        <v>1095</v>
      </c>
      <c r="F23" s="71" t="n">
        <f aca="false">E23/A23</f>
        <v>43.8</v>
      </c>
      <c r="G23" s="78" t="n">
        <f aca="false">A23*$B$14</f>
        <v>65.16</v>
      </c>
      <c r="H23" s="71" t="n">
        <f aca="false">$B$14</f>
        <v>2.6064</v>
      </c>
      <c r="I23" s="87" t="str">
        <f aca="false">IF(E23&lt;G23,"Local","API")</f>
        <v>API</v>
      </c>
      <c r="J23" s="80" t="n">
        <f aca="false">E23/G23</f>
        <v>16.804788213628</v>
      </c>
    </row>
    <row r="24" customFormat="false" ht="15" hidden="false" customHeight="true" outlineLevel="0" collapsed="false">
      <c r="A24" s="19" t="n">
        <v>50</v>
      </c>
      <c r="B24" s="15" t="n">
        <f aca="false">A24*$B$13</f>
        <v>162000000</v>
      </c>
      <c r="C24" s="15" t="n">
        <f aca="false">CEILING(B24/$B$10,1)</f>
        <v>1</v>
      </c>
      <c r="D24" s="80" t="n">
        <f aca="false">B24/(C24*$B$10)</f>
        <v>0.0176125244618395</v>
      </c>
      <c r="E24" s="78" t="n">
        <f aca="false">C24*$B$7</f>
        <v>1095</v>
      </c>
      <c r="F24" s="71" t="n">
        <f aca="false">E24/A24</f>
        <v>21.9</v>
      </c>
      <c r="G24" s="78" t="n">
        <f aca="false">A24*$B$14</f>
        <v>130.32</v>
      </c>
      <c r="H24" s="71" t="n">
        <f aca="false">$B$14</f>
        <v>2.6064</v>
      </c>
      <c r="I24" s="87" t="str">
        <f aca="false">IF(E24&lt;G24,"Local","API")</f>
        <v>API</v>
      </c>
      <c r="J24" s="80" t="n">
        <f aca="false">E24/G24</f>
        <v>8.402394106814</v>
      </c>
    </row>
    <row r="25" customFormat="false" ht="15" hidden="false" customHeight="true" outlineLevel="0" collapsed="false">
      <c r="A25" s="19" t="n">
        <v>100</v>
      </c>
      <c r="B25" s="15" t="n">
        <f aca="false">A25*$B$13</f>
        <v>324000000</v>
      </c>
      <c r="C25" s="15" t="n">
        <f aca="false">CEILING(B25/$B$10,1)</f>
        <v>1</v>
      </c>
      <c r="D25" s="80" t="n">
        <f aca="false">B25/(C25*$B$10)</f>
        <v>0.0352250489236791</v>
      </c>
      <c r="E25" s="78" t="n">
        <f aca="false">C25*$B$7</f>
        <v>1095</v>
      </c>
      <c r="F25" s="71" t="n">
        <f aca="false">E25/A25</f>
        <v>10.95</v>
      </c>
      <c r="G25" s="78" t="n">
        <f aca="false">A25*$B$14</f>
        <v>260.64</v>
      </c>
      <c r="H25" s="71" t="n">
        <f aca="false">$B$14</f>
        <v>2.6064</v>
      </c>
      <c r="I25" s="87" t="str">
        <f aca="false">IF(E25&lt;G25,"Local","API")</f>
        <v>API</v>
      </c>
      <c r="J25" s="80" t="n">
        <f aca="false">E25/G25</f>
        <v>4.201197053407</v>
      </c>
    </row>
    <row r="26" customFormat="false" ht="15" hidden="false" customHeight="true" outlineLevel="0" collapsed="false">
      <c r="A26" s="19" t="n">
        <v>250</v>
      </c>
      <c r="B26" s="15" t="n">
        <f aca="false">A26*$B$13</f>
        <v>810000000</v>
      </c>
      <c r="C26" s="15" t="n">
        <f aca="false">CEILING(B26/$B$10,1)</f>
        <v>1</v>
      </c>
      <c r="D26" s="80" t="n">
        <f aca="false">B26/(C26*$B$10)</f>
        <v>0.0880626223091977</v>
      </c>
      <c r="E26" s="78" t="n">
        <f aca="false">C26*$B$7</f>
        <v>1095</v>
      </c>
      <c r="F26" s="71" t="n">
        <f aca="false">E26/A26</f>
        <v>4.38</v>
      </c>
      <c r="G26" s="78" t="n">
        <f aca="false">A26*$B$14</f>
        <v>651.6</v>
      </c>
      <c r="H26" s="71" t="n">
        <f aca="false">$B$14</f>
        <v>2.6064</v>
      </c>
      <c r="I26" s="87" t="str">
        <f aca="false">IF(E26&lt;G26,"Local","API")</f>
        <v>API</v>
      </c>
      <c r="J26" s="80" t="n">
        <f aca="false">E26/G26</f>
        <v>1.6804788213628</v>
      </c>
    </row>
    <row r="27" customFormat="false" ht="15" hidden="false" customHeight="true" outlineLevel="0" collapsed="false">
      <c r="A27" s="19" t="n">
        <v>334</v>
      </c>
      <c r="B27" s="15" t="n">
        <f aca="false">A27*$B$13</f>
        <v>1082160000</v>
      </c>
      <c r="C27" s="15" t="n">
        <f aca="false">CEILING(B27/$B$10,1)</f>
        <v>1</v>
      </c>
      <c r="D27" s="80" t="n">
        <f aca="false">B27/(C27*$B$10)</f>
        <v>0.117651663405088</v>
      </c>
      <c r="E27" s="78" t="n">
        <f aca="false">C27*$B$7</f>
        <v>1095</v>
      </c>
      <c r="F27" s="71" t="n">
        <f aca="false">E27/A27</f>
        <v>3.27844311377246</v>
      </c>
      <c r="G27" s="78" t="n">
        <f aca="false">A27*$B$14</f>
        <v>870.5376</v>
      </c>
      <c r="H27" s="71" t="n">
        <f aca="false">$B$14</f>
        <v>2.6064</v>
      </c>
      <c r="I27" s="87" t="str">
        <f aca="false">IF(E27&lt;G27,"Local","API")</f>
        <v>API</v>
      </c>
      <c r="J27" s="80" t="n">
        <f aca="false">E27/G27</f>
        <v>1.25784342916377</v>
      </c>
    </row>
    <row r="28" customFormat="false" ht="15" hidden="false" customHeight="true" outlineLevel="0" collapsed="false">
      <c r="A28" s="19" t="n">
        <v>420</v>
      </c>
      <c r="B28" s="15" t="n">
        <f aca="false">A28*$B$13</f>
        <v>1360800000</v>
      </c>
      <c r="C28" s="15" t="n">
        <f aca="false">CEILING(B28/$B$10,1)</f>
        <v>1</v>
      </c>
      <c r="D28" s="80" t="n">
        <f aca="false">B28/(C28*$B$10)</f>
        <v>0.147945205479452</v>
      </c>
      <c r="E28" s="78" t="n">
        <f aca="false">C28*$B$7</f>
        <v>1095</v>
      </c>
      <c r="F28" s="71" t="n">
        <f aca="false">E28/A28</f>
        <v>2.60714285714286</v>
      </c>
      <c r="G28" s="78" t="n">
        <f aca="false">A28*$B$14</f>
        <v>1094.688</v>
      </c>
      <c r="H28" s="71" t="n">
        <f aca="false">$B$14</f>
        <v>2.6064</v>
      </c>
      <c r="I28" s="87" t="str">
        <f aca="false">IF(E28&lt;G28,"Local","API")</f>
        <v>API</v>
      </c>
      <c r="J28" s="80" t="n">
        <f aca="false">E28/G28</f>
        <v>1.00028501271595</v>
      </c>
    </row>
    <row r="29" customFormat="false" ht="15" hidden="false" customHeight="true" outlineLevel="0" collapsed="false">
      <c r="A29" s="19" t="n">
        <v>500</v>
      </c>
      <c r="B29" s="15" t="n">
        <f aca="false">A29*$B$13</f>
        <v>1620000000</v>
      </c>
      <c r="C29" s="15" t="n">
        <f aca="false">CEILING(B29/$B$10,1)</f>
        <v>1</v>
      </c>
      <c r="D29" s="80" t="n">
        <f aca="false">B29/(C29*$B$10)</f>
        <v>0.176125244618395</v>
      </c>
      <c r="E29" s="78" t="n">
        <f aca="false">C29*$B$7</f>
        <v>1095</v>
      </c>
      <c r="F29" s="71" t="n">
        <f aca="false">E29/A29</f>
        <v>2.19</v>
      </c>
      <c r="G29" s="78" t="n">
        <f aca="false">A29*$B$14</f>
        <v>1303.2</v>
      </c>
      <c r="H29" s="71" t="n">
        <f aca="false">$B$14</f>
        <v>2.6064</v>
      </c>
      <c r="I29" s="87" t="str">
        <f aca="false">IF(E29&lt;G29,"Local","API")</f>
        <v>Local</v>
      </c>
      <c r="J29" s="80" t="n">
        <f aca="false">E29/G29</f>
        <v>0.8402394106814</v>
      </c>
    </row>
    <row r="30" customFormat="false" ht="15" hidden="false" customHeight="true" outlineLevel="0" collapsed="false">
      <c r="A30" s="19" t="n">
        <v>1000</v>
      </c>
      <c r="B30" s="15" t="n">
        <f aca="false">A30*$B$13</f>
        <v>3240000000</v>
      </c>
      <c r="C30" s="15" t="n">
        <f aca="false">CEILING(B30/$B$10,1)</f>
        <v>1</v>
      </c>
      <c r="D30" s="80" t="n">
        <f aca="false">B30/(C30*$B$10)</f>
        <v>0.352250489236791</v>
      </c>
      <c r="E30" s="78" t="n">
        <f aca="false">C30*$B$7</f>
        <v>1095</v>
      </c>
      <c r="F30" s="71" t="n">
        <f aca="false">E30/A30</f>
        <v>1.095</v>
      </c>
      <c r="G30" s="78" t="n">
        <f aca="false">A30*$B$14</f>
        <v>2606.4</v>
      </c>
      <c r="H30" s="71" t="n">
        <f aca="false">$B$14</f>
        <v>2.6064</v>
      </c>
      <c r="I30" s="87" t="str">
        <f aca="false">IF(E30&lt;G30,"Local","API")</f>
        <v>Local</v>
      </c>
      <c r="J30" s="80" t="n">
        <f aca="false">E30/G30</f>
        <v>0.4201197053407</v>
      </c>
    </row>
    <row r="31" customFormat="false" ht="15" hidden="false" customHeight="true" outlineLevel="0" collapsed="false">
      <c r="A31" s="19" t="n">
        <v>2500</v>
      </c>
      <c r="B31" s="15" t="n">
        <f aca="false">A31*$B$13</f>
        <v>8100000000</v>
      </c>
      <c r="C31" s="15" t="n">
        <f aca="false">CEILING(B31/$B$10,1)</f>
        <v>1</v>
      </c>
      <c r="D31" s="80" t="n">
        <f aca="false">B31/(C31*$B$10)</f>
        <v>0.880626223091977</v>
      </c>
      <c r="E31" s="78" t="n">
        <f aca="false">C31*$B$7</f>
        <v>1095</v>
      </c>
      <c r="F31" s="71" t="n">
        <f aca="false">E31/A31</f>
        <v>0.438</v>
      </c>
      <c r="G31" s="78" t="n">
        <f aca="false">A31*$B$14</f>
        <v>6516</v>
      </c>
      <c r="H31" s="71" t="n">
        <f aca="false">$B$14</f>
        <v>2.6064</v>
      </c>
      <c r="I31" s="87" t="str">
        <f aca="false">IF(E31&lt;G31,"Local","API")</f>
        <v>Local</v>
      </c>
      <c r="J31" s="80" t="n">
        <f aca="false">E31/G31</f>
        <v>0.16804788213628</v>
      </c>
    </row>
    <row r="32" customFormat="false" ht="15" hidden="false" customHeight="true" outlineLevel="0" collapsed="false">
      <c r="A32" s="19" t="n">
        <v>5000</v>
      </c>
      <c r="B32" s="15" t="n">
        <f aca="false">A32*$B$13</f>
        <v>16200000000</v>
      </c>
      <c r="C32" s="15" t="n">
        <f aca="false">CEILING(B32/$B$10,1)</f>
        <v>2</v>
      </c>
      <c r="D32" s="80" t="n">
        <f aca="false">B32/(C32*$B$10)</f>
        <v>0.880626223091977</v>
      </c>
      <c r="E32" s="78" t="n">
        <f aca="false">C32*$B$7</f>
        <v>2190</v>
      </c>
      <c r="F32" s="71" t="n">
        <f aca="false">E32/A32</f>
        <v>0.438</v>
      </c>
      <c r="G32" s="78" t="n">
        <f aca="false">A32*$B$14</f>
        <v>13032</v>
      </c>
      <c r="H32" s="71" t="n">
        <f aca="false">$B$14</f>
        <v>2.6064</v>
      </c>
      <c r="I32" s="87" t="str">
        <f aca="false">IF(E32&lt;G32,"Local","API")</f>
        <v>Local</v>
      </c>
      <c r="J32" s="80" t="n">
        <f aca="false">E32/G32</f>
        <v>0.16804788213628</v>
      </c>
    </row>
    <row r="33" customFormat="false" ht="15" hidden="false" customHeight="true" outlineLevel="0" collapsed="false">
      <c r="A33" s="19" t="n">
        <v>10000</v>
      </c>
      <c r="B33" s="15" t="n">
        <f aca="false">A33*$B$13</f>
        <v>32400000000</v>
      </c>
      <c r="C33" s="15" t="n">
        <f aca="false">CEILING(B33/$B$10,1)</f>
        <v>4</v>
      </c>
      <c r="D33" s="80" t="n">
        <f aca="false">B33/(C33*$B$10)</f>
        <v>0.880626223091977</v>
      </c>
      <c r="E33" s="78" t="n">
        <f aca="false">C33*$B$7</f>
        <v>4380</v>
      </c>
      <c r="F33" s="71" t="n">
        <f aca="false">E33/A33</f>
        <v>0.438</v>
      </c>
      <c r="G33" s="78" t="n">
        <f aca="false">A33*$B$14</f>
        <v>26064</v>
      </c>
      <c r="H33" s="71" t="n">
        <f aca="false">$B$14</f>
        <v>2.6064</v>
      </c>
      <c r="I33" s="87" t="str">
        <f aca="false">IF(E33&lt;G33,"Local","API")</f>
        <v>Local</v>
      </c>
      <c r="J33" s="80" t="n">
        <f aca="false">E33/G33</f>
        <v>0.16804788213628</v>
      </c>
    </row>
    <row r="34" customFormat="false" ht="15" hidden="false" customHeight="true" outlineLevel="0" collapsed="false">
      <c r="A34" s="19" t="n">
        <v>12074</v>
      </c>
      <c r="B34" s="15" t="n">
        <f aca="false">A34*$B$13</f>
        <v>39119760000</v>
      </c>
      <c r="C34" s="15" t="n">
        <f aca="false">CEILING(B34/$B$10,1)</f>
        <v>5</v>
      </c>
      <c r="D34" s="80" t="n">
        <f aca="false">B34/(C34*$B$10)</f>
        <v>0.850614481409002</v>
      </c>
      <c r="E34" s="78" t="n">
        <f aca="false">C34*$B$7</f>
        <v>5475</v>
      </c>
      <c r="F34" s="71" t="n">
        <f aca="false">E34/A34</f>
        <v>0.453453702169952</v>
      </c>
      <c r="G34" s="78" t="n">
        <f aca="false">A34*$B$14</f>
        <v>31469.6736</v>
      </c>
      <c r="H34" s="71" t="n">
        <f aca="false">$B$14</f>
        <v>2.6064</v>
      </c>
      <c r="I34" s="87" t="str">
        <f aca="false">IF(E34&lt;G34,"Local","API")</f>
        <v>Local</v>
      </c>
      <c r="J34" s="80" t="n">
        <f aca="false">E34/G34</f>
        <v>0.173977018941817</v>
      </c>
    </row>
    <row r="36" customFormat="false" ht="15" hidden="false" customHeight="true" outlineLevel="0" collapsed="false">
      <c r="A36" s="82" t="s">
        <v>432</v>
      </c>
      <c r="B36" s="83"/>
      <c r="C36" s="83"/>
      <c r="D36" s="83"/>
      <c r="E36" s="83"/>
      <c r="F36" s="83"/>
      <c r="G36" s="83"/>
      <c r="H36" s="83"/>
      <c r="I36" s="83"/>
      <c r="J36" s="83"/>
    </row>
    <row r="37" customFormat="false" ht="15" hidden="false" customHeight="true" outlineLevel="0" collapsed="false">
      <c r="A37" s="9" t="s">
        <v>433</v>
      </c>
      <c r="B37" s="84" t="n">
        <v>10</v>
      </c>
      <c r="C37" s="11" t="s">
        <v>402</v>
      </c>
      <c r="D37" s="85" t="s">
        <v>434</v>
      </c>
    </row>
    <row r="38" customFormat="false" ht="15" hidden="false" customHeight="true" outlineLevel="0" collapsed="false">
      <c r="A38" s="9" t="s">
        <v>435</v>
      </c>
      <c r="B38" s="78" t="n">
        <f aca="false">B37*8*B6</f>
        <v>58400</v>
      </c>
      <c r="C38" s="11" t="s">
        <v>308</v>
      </c>
    </row>
    <row r="39" customFormat="false" ht="15" hidden="false" customHeight="true" outlineLevel="0" collapsed="false">
      <c r="A39" s="9" t="s">
        <v>436</v>
      </c>
      <c r="B39" s="75" t="n">
        <f aca="false">'Agent Cost'!$H$6*12074</f>
        <v>16843.23</v>
      </c>
      <c r="C39" s="11" t="s">
        <v>308</v>
      </c>
    </row>
    <row r="40" customFormat="false" ht="15" hidden="false" customHeight="true" outlineLevel="0" collapsed="false">
      <c r="A40" s="53" t="s">
        <v>437</v>
      </c>
    </row>
    <row r="41" customFormat="false" ht="15" hidden="false" customHeight="true" outlineLevel="0" collapsed="false">
      <c r="A41" s="53" t="s">
        <v>438</v>
      </c>
    </row>
    <row r="43" customFormat="false" ht="15" hidden="false" customHeight="true" outlineLevel="0" collapsed="false">
      <c r="A43" s="82" t="s">
        <v>439</v>
      </c>
      <c r="B43" s="83"/>
      <c r="C43" s="83"/>
      <c r="D43" s="83"/>
      <c r="E43" s="83"/>
      <c r="F43" s="83"/>
      <c r="G43" s="83"/>
      <c r="H43" s="83"/>
      <c r="I43" s="83"/>
      <c r="J43" s="83"/>
    </row>
    <row r="44" customFormat="false" ht="15" hidden="false" customHeight="true" outlineLevel="0" collapsed="false">
      <c r="A44" s="88" t="s">
        <v>247</v>
      </c>
      <c r="B44" s="88" t="s">
        <v>440</v>
      </c>
      <c r="C44" s="88" t="s">
        <v>441</v>
      </c>
      <c r="D44" s="89"/>
      <c r="E44" s="88" t="s">
        <v>442</v>
      </c>
      <c r="F44" s="89"/>
    </row>
    <row r="45" customFormat="false" ht="15" hidden="false" customHeight="true" outlineLevel="0" collapsed="false">
      <c r="A45" s="9" t="s">
        <v>443</v>
      </c>
      <c r="B45" s="76" t="n">
        <f aca="false">'Agent Cost'!$H$8</f>
        <v>4.1664</v>
      </c>
      <c r="C45" s="76" t="n">
        <f aca="false">'Agent Cost'!$H$8</f>
        <v>4.1664</v>
      </c>
      <c r="E45" s="78" t="n">
        <f aca="false">'Mgmt Assumptions'!$B$16+'Mgmt Assumptions'!$B$17+'Agent Cost'!$H$8*12074</f>
        <v>80305.1136</v>
      </c>
    </row>
    <row r="46" customFormat="false" ht="15" hidden="false" customHeight="true" outlineLevel="0" collapsed="false">
      <c r="A46" s="9" t="s">
        <v>444</v>
      </c>
      <c r="B46" s="71" t="n">
        <f aca="false">F27+'Agent Cost'!$H$6+'Agent Cost'!$H$7</f>
        <v>4.83844311377246</v>
      </c>
      <c r="C46" s="71" t="n">
        <f aca="false">F34+'Agent Cost'!$H$6+'Agent Cost'!$H$7</f>
        <v>2.01345370216995</v>
      </c>
      <c r="E46" s="78" t="n">
        <f aca="false">'Mgmt Assumptions'!$B$16+'Mgmt Assumptions'!$B$17+E34+('Agent Cost'!$H$6+'Agent Cost'!$H$7)*12074</f>
        <v>54310.44</v>
      </c>
    </row>
    <row r="47" customFormat="false" ht="15" hidden="false" customHeight="true" outlineLevel="0" collapsed="false">
      <c r="A47" s="53" t="s">
        <v>445</v>
      </c>
    </row>
    <row r="49" customFormat="false" ht="15" hidden="false" customHeight="true" outlineLevel="0" collapsed="false">
      <c r="A49" s="53" t="s">
        <v>446</v>
      </c>
    </row>
    <row r="50" customFormat="false" ht="15" hidden="false" customHeight="true" outlineLevel="0" collapsed="false">
      <c r="A50" s="53" t="s">
        <v>447</v>
      </c>
    </row>
    <row r="51" customFormat="false" ht="15" hidden="false" customHeight="true" outlineLevel="0" collapsed="false">
      <c r="A51" s="53" t="s">
        <v>448</v>
      </c>
    </row>
    <row r="52" customFormat="false" ht="15" hidden="false" customHeight="true" outlineLevel="0" collapsed="false">
      <c r="A52" s="53" t="s">
        <v>449</v>
      </c>
    </row>
    <row r="53" customFormat="false" ht="15" hidden="false" customHeight="true" outlineLevel="0" collapsed="false">
      <c r="A53" s="53" t="s">
        <v>450</v>
      </c>
    </row>
    <row r="54" customFormat="false" ht="15" hidden="false" customHeight="true" outlineLevel="0" collapsed="false">
      <c r="A54" s="53" t="s">
        <v>451</v>
      </c>
    </row>
    <row r="55" customFormat="false" ht="15" hidden="false" customHeight="true" outlineLevel="0" collapsed="false">
      <c r="A55" s="53" t="s">
        <v>452</v>
      </c>
    </row>
    <row r="56" customFormat="false" ht="15" hidden="false" customHeight="true" outlineLevel="0" collapsed="false">
      <c r="A56" s="53" t="s">
        <v>453</v>
      </c>
    </row>
    <row r="57" customFormat="false" ht="15" hidden="false" customHeight="true" outlineLevel="0" collapsed="false">
      <c r="A57" s="53" t="s">
        <v>454</v>
      </c>
    </row>
    <row r="58" customFormat="false" ht="15" hidden="false" customHeight="true" outlineLevel="0" collapsed="false">
      <c r="A58" s="53" t="s">
        <v>455</v>
      </c>
    </row>
    <row r="59" customFormat="false" ht="15" hidden="false" customHeight="true" outlineLevel="0" collapsed="false">
      <c r="A59" s="53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3" min="2" style="1" width="14"/>
    <col collapsed="false" customWidth="true" hidden="false" outlineLevel="0" max="4" min="4" style="1" width="44"/>
    <col collapsed="false" customWidth="true" hidden="false" outlineLevel="0" max="8" min="5" style="1" width="14"/>
  </cols>
  <sheetData>
    <row r="1" customFormat="false" ht="21.75" hidden="false" customHeight="true" outlineLevel="0" collapsed="false">
      <c r="A1" s="51" t="s">
        <v>457</v>
      </c>
      <c r="B1" s="52"/>
      <c r="C1" s="52"/>
      <c r="D1" s="52"/>
      <c r="E1" s="52"/>
      <c r="F1" s="52"/>
      <c r="G1" s="52"/>
      <c r="H1" s="52"/>
      <c r="I1" s="52"/>
      <c r="J1" s="52"/>
    </row>
    <row r="2" customFormat="false" ht="15" hidden="false" customHeight="true" outlineLevel="0" collapsed="false">
      <c r="A2" s="53" t="s">
        <v>458</v>
      </c>
    </row>
    <row r="4" customFormat="false" ht="15" hidden="false" customHeight="true" outlineLevel="0" collapsed="false">
      <c r="A4" s="82" t="s">
        <v>459</v>
      </c>
      <c r="B4" s="83"/>
      <c r="C4" s="83"/>
      <c r="D4" s="83"/>
      <c r="E4" s="83"/>
      <c r="F4" s="83"/>
      <c r="G4" s="83"/>
      <c r="H4" s="83"/>
      <c r="I4" s="83"/>
      <c r="J4" s="83"/>
    </row>
    <row r="5" customFormat="false" ht="15" hidden="false" customHeight="true" outlineLevel="0" collapsed="false">
      <c r="A5" s="9" t="s">
        <v>460</v>
      </c>
      <c r="B5" s="90" t="n">
        <v>25000</v>
      </c>
      <c r="C5" s="11" t="s">
        <v>308</v>
      </c>
      <c r="D5" s="85" t="s">
        <v>461</v>
      </c>
    </row>
    <row r="6" customFormat="false" ht="15" hidden="false" customHeight="true" outlineLevel="0" collapsed="false">
      <c r="A6" s="9" t="s">
        <v>462</v>
      </c>
      <c r="B6" s="19" t="n">
        <v>150</v>
      </c>
      <c r="C6" s="11" t="s">
        <v>310</v>
      </c>
      <c r="D6" s="85" t="s">
        <v>463</v>
      </c>
    </row>
    <row r="7" customFormat="false" ht="15" hidden="false" customHeight="true" outlineLevel="0" collapsed="false">
      <c r="A7" s="9" t="s">
        <v>464</v>
      </c>
      <c r="B7" s="84" t="n">
        <v>0</v>
      </c>
      <c r="C7" s="11" t="s">
        <v>417</v>
      </c>
      <c r="D7" s="85" t="s">
        <v>465</v>
      </c>
    </row>
    <row r="9" customFormat="false" ht="15" hidden="false" customHeight="true" outlineLevel="0" collapsed="false">
      <c r="A9" s="82" t="s">
        <v>466</v>
      </c>
      <c r="B9" s="83"/>
      <c r="C9" s="83"/>
      <c r="D9" s="83"/>
      <c r="E9" s="83"/>
      <c r="F9" s="83"/>
      <c r="G9" s="83"/>
      <c r="H9" s="83"/>
      <c r="I9" s="83"/>
      <c r="J9" s="83"/>
    </row>
    <row r="10" customFormat="false" ht="15" hidden="false" customHeight="true" outlineLevel="0" collapsed="false">
      <c r="A10" s="9" t="s">
        <v>467</v>
      </c>
      <c r="B10" s="86" t="n">
        <v>0.95</v>
      </c>
      <c r="D10" s="85" t="s">
        <v>468</v>
      </c>
    </row>
    <row r="11" customFormat="false" ht="15" hidden="false" customHeight="true" outlineLevel="0" collapsed="false">
      <c r="A11" s="9" t="s">
        <v>469</v>
      </c>
      <c r="B11" s="76" t="n">
        <f aca="false">'Agent Cost'!$H$5+'Agent Cost'!$H$6</f>
        <v>4.0014</v>
      </c>
      <c r="C11" s="11" t="s">
        <v>417</v>
      </c>
      <c r="D11" s="85" t="s">
        <v>470</v>
      </c>
    </row>
    <row r="12" customFormat="false" ht="15" hidden="false" customHeight="true" outlineLevel="0" collapsed="false">
      <c r="A12" s="9" t="s">
        <v>471</v>
      </c>
      <c r="B12" s="71" t="n">
        <f aca="false">(1-B10)*B11</f>
        <v>0.20007</v>
      </c>
      <c r="C12" s="11" t="s">
        <v>417</v>
      </c>
      <c r="D12" s="85" t="s">
        <v>472</v>
      </c>
    </row>
    <row r="13" customFormat="false" ht="15" hidden="false" customHeight="true" outlineLevel="0" collapsed="false">
      <c r="A13" s="9" t="s">
        <v>473</v>
      </c>
      <c r="B13" s="90" t="n">
        <v>8000</v>
      </c>
      <c r="C13" s="11" t="s">
        <v>308</v>
      </c>
      <c r="D13" s="85" t="s">
        <v>474</v>
      </c>
    </row>
    <row r="14" customFormat="false" ht="15" hidden="false" customHeight="true" outlineLevel="0" collapsed="false">
      <c r="A14" s="9" t="s">
        <v>475</v>
      </c>
      <c r="B14" s="19" t="n">
        <v>300</v>
      </c>
      <c r="C14" s="11" t="s">
        <v>310</v>
      </c>
      <c r="D14" s="85" t="s">
        <v>476</v>
      </c>
    </row>
    <row r="16" customFormat="false" ht="15" hidden="false" customHeight="true" outlineLevel="0" collapsed="false">
      <c r="A16" s="82" t="s">
        <v>477</v>
      </c>
      <c r="B16" s="83"/>
      <c r="C16" s="83"/>
      <c r="D16" s="83"/>
      <c r="E16" s="83"/>
      <c r="F16" s="83"/>
      <c r="G16" s="83"/>
      <c r="H16" s="83"/>
      <c r="I16" s="83"/>
      <c r="J16" s="83"/>
    </row>
    <row r="17" customFormat="false" ht="15" hidden="false" customHeight="true" outlineLevel="0" collapsed="false">
      <c r="A17" s="9" t="s">
        <v>478</v>
      </c>
      <c r="B17" s="23" t="n">
        <f aca="false">'Agent Cost'!$B$5+'Agent Cost'!$B$6+'Agent Cost'!$B$7</f>
        <v>726.5</v>
      </c>
      <c r="C17" s="11" t="s">
        <v>28</v>
      </c>
      <c r="D17" s="85" t="s">
        <v>479</v>
      </c>
    </row>
    <row r="18" customFormat="false" ht="15" hidden="false" customHeight="true" outlineLevel="0" collapsed="false">
      <c r="A18" s="9" t="s">
        <v>480</v>
      </c>
      <c r="B18" s="15" t="n">
        <f aca="false">B10*B17</f>
        <v>690.175</v>
      </c>
      <c r="C18" s="11" t="s">
        <v>28</v>
      </c>
    </row>
    <row r="19" customFormat="false" ht="15" hidden="false" customHeight="true" outlineLevel="0" collapsed="false">
      <c r="A19" s="9" t="s">
        <v>481</v>
      </c>
      <c r="B19" s="15" t="n">
        <f aca="false">(1-B10)*B17</f>
        <v>36.325</v>
      </c>
      <c r="C19" s="11" t="s">
        <v>28</v>
      </c>
    </row>
    <row r="21" customFormat="false" ht="30" hidden="false" customHeight="true" outlineLevel="0" collapsed="false">
      <c r="A21" s="22" t="s">
        <v>373</v>
      </c>
      <c r="B21" s="22" t="s">
        <v>482</v>
      </c>
      <c r="C21" s="22" t="s">
        <v>483</v>
      </c>
      <c r="D21" s="22" t="s">
        <v>484</v>
      </c>
      <c r="E21" s="22" t="s">
        <v>485</v>
      </c>
      <c r="F21" s="22" t="s">
        <v>486</v>
      </c>
      <c r="G21" s="22" t="s">
        <v>379</v>
      </c>
      <c r="H21" s="22" t="s">
        <v>487</v>
      </c>
    </row>
    <row r="22" customFormat="false" ht="15" hidden="false" customHeight="true" outlineLevel="0" collapsed="false">
      <c r="A22" s="19" t="n">
        <v>1</v>
      </c>
      <c r="B22" s="78" t="n">
        <f aca="false">'Mgmt Assumptions'!$B$7*MAX('Mgmt Assumptions'!$B$9,CEILING(A22/'Mgmt Assumptions'!$B$8,1))</f>
        <v>40000</v>
      </c>
      <c r="C22" s="91" t="n">
        <f aca="false">$B$5+'Mgmt Assumptions'!$B$17+$B$7*A22</f>
        <v>27000</v>
      </c>
      <c r="D22" s="77" t="n">
        <f aca="false">$B$5+$B$7*A22+'Mgmt Assumptions'!$B$7*MAX('Mgmt Assumptions'!$B$11,CEILING(A22/$B$6,1))</f>
        <v>45000</v>
      </c>
      <c r="E22" s="78" t="n">
        <f aca="false">$B$5+$B$13+$B$12*A22+'Mgmt Assumptions'!$B$7*MAX('Mgmt Assumptions'!$B$11,CEILING(A22/$B$14,1))</f>
        <v>53000.20007</v>
      </c>
      <c r="F22" s="78" t="n">
        <f aca="false">'Mgmt Assumptions'!$B$16+'Mgmt Assumptions'!$B$17+'Agent Cost'!$H$8*A22</f>
        <v>30004.1664</v>
      </c>
      <c r="G22" s="81" t="str">
        <f aca="false">IF(E22&lt;D22,"Three-tier","Algo+human")</f>
        <v>Algo+human</v>
      </c>
      <c r="H22" s="78" t="n">
        <f aca="false">E22-D22</f>
        <v>8000.20007</v>
      </c>
    </row>
    <row r="23" customFormat="false" ht="15" hidden="false" customHeight="true" outlineLevel="0" collapsed="false">
      <c r="A23" s="19" t="n">
        <v>10</v>
      </c>
      <c r="B23" s="78" t="n">
        <f aca="false">'Mgmt Assumptions'!$B$7*MAX('Mgmt Assumptions'!$B$9,CEILING(A23/'Mgmt Assumptions'!$B$8,1))</f>
        <v>40000</v>
      </c>
      <c r="C23" s="91" t="n">
        <f aca="false">$B$5+'Mgmt Assumptions'!$B$17+$B$7*A23</f>
        <v>27000</v>
      </c>
      <c r="D23" s="77" t="n">
        <f aca="false">$B$5+$B$7*A23+'Mgmt Assumptions'!$B$7*MAX('Mgmt Assumptions'!$B$11,CEILING(A23/$B$6,1))</f>
        <v>45000</v>
      </c>
      <c r="E23" s="78" t="n">
        <f aca="false">$B$5+$B$13+$B$12*A23+'Mgmt Assumptions'!$B$7*MAX('Mgmt Assumptions'!$B$11,CEILING(A23/$B$14,1))</f>
        <v>53002.0007</v>
      </c>
      <c r="F23" s="78" t="n">
        <f aca="false">'Mgmt Assumptions'!$B$16+'Mgmt Assumptions'!$B$17+'Agent Cost'!$H$8*A23</f>
        <v>30041.664</v>
      </c>
      <c r="G23" s="81" t="str">
        <f aca="false">IF(E23&lt;D23,"Three-tier","Algo+human")</f>
        <v>Algo+human</v>
      </c>
      <c r="H23" s="78" t="n">
        <f aca="false">E23-D23</f>
        <v>8002.0007</v>
      </c>
    </row>
    <row r="24" customFormat="false" ht="15" hidden="false" customHeight="true" outlineLevel="0" collapsed="false">
      <c r="A24" s="19" t="n">
        <v>50</v>
      </c>
      <c r="B24" s="78" t="n">
        <f aca="false">'Mgmt Assumptions'!$B$7*MAX('Mgmt Assumptions'!$B$9,CEILING(A24/'Mgmt Assumptions'!$B$8,1))</f>
        <v>40000</v>
      </c>
      <c r="C24" s="91" t="n">
        <f aca="false">$B$5+'Mgmt Assumptions'!$B$17+$B$7*A24</f>
        <v>27000</v>
      </c>
      <c r="D24" s="77" t="n">
        <f aca="false">$B$5+$B$7*A24+'Mgmt Assumptions'!$B$7*MAX('Mgmt Assumptions'!$B$11,CEILING(A24/$B$6,1))</f>
        <v>45000</v>
      </c>
      <c r="E24" s="78" t="n">
        <f aca="false">$B$5+$B$13+$B$12*A24+'Mgmt Assumptions'!$B$7*MAX('Mgmt Assumptions'!$B$11,CEILING(A24/$B$14,1))</f>
        <v>53010.0035</v>
      </c>
      <c r="F24" s="78" t="n">
        <f aca="false">'Mgmt Assumptions'!$B$16+'Mgmt Assumptions'!$B$17+'Agent Cost'!$H$8*A24</f>
        <v>30208.32</v>
      </c>
      <c r="G24" s="81" t="str">
        <f aca="false">IF(E24&lt;D24,"Three-tier","Algo+human")</f>
        <v>Algo+human</v>
      </c>
      <c r="H24" s="78" t="n">
        <f aca="false">E24-D24</f>
        <v>8010.0035</v>
      </c>
    </row>
    <row r="25" customFormat="false" ht="15" hidden="false" customHeight="true" outlineLevel="0" collapsed="false">
      <c r="A25" s="19" t="n">
        <v>100</v>
      </c>
      <c r="B25" s="78" t="n">
        <f aca="false">'Mgmt Assumptions'!$B$7*MAX('Mgmt Assumptions'!$B$9,CEILING(A25/'Mgmt Assumptions'!$B$8,1))</f>
        <v>80000</v>
      </c>
      <c r="C25" s="91" t="n">
        <f aca="false">$B$5+'Mgmt Assumptions'!$B$17+$B$7*A25</f>
        <v>27000</v>
      </c>
      <c r="D25" s="77" t="n">
        <f aca="false">$B$5+$B$7*A25+'Mgmt Assumptions'!$B$7*MAX('Mgmt Assumptions'!$B$11,CEILING(A25/$B$6,1))</f>
        <v>45000</v>
      </c>
      <c r="E25" s="78" t="n">
        <f aca="false">$B$5+$B$13+$B$12*A25+'Mgmt Assumptions'!$B$7*MAX('Mgmt Assumptions'!$B$11,CEILING(A25/$B$14,1))</f>
        <v>53020.007</v>
      </c>
      <c r="F25" s="78" t="n">
        <f aca="false">'Mgmt Assumptions'!$B$16+'Mgmt Assumptions'!$B$17+'Agent Cost'!$H$8*A25</f>
        <v>30416.64</v>
      </c>
      <c r="G25" s="81" t="str">
        <f aca="false">IF(E25&lt;D25,"Three-tier","Algo+human")</f>
        <v>Algo+human</v>
      </c>
      <c r="H25" s="78" t="n">
        <f aca="false">E25-D25</f>
        <v>8020.007</v>
      </c>
    </row>
    <row r="26" customFormat="false" ht="15" hidden="false" customHeight="true" outlineLevel="0" collapsed="false">
      <c r="A26" s="19" t="n">
        <v>150</v>
      </c>
      <c r="B26" s="78" t="n">
        <f aca="false">'Mgmt Assumptions'!$B$7*MAX('Mgmt Assumptions'!$B$9,CEILING(A26/'Mgmt Assumptions'!$B$8,1))</f>
        <v>100000</v>
      </c>
      <c r="C26" s="91" t="n">
        <f aca="false">$B$5+'Mgmt Assumptions'!$B$17+$B$7*A26</f>
        <v>27000</v>
      </c>
      <c r="D26" s="77" t="n">
        <f aca="false">$B$5+$B$7*A26+'Mgmt Assumptions'!$B$7*MAX('Mgmt Assumptions'!$B$11,CEILING(A26/$B$6,1))</f>
        <v>45000</v>
      </c>
      <c r="E26" s="78" t="n">
        <f aca="false">$B$5+$B$13+$B$12*A26+'Mgmt Assumptions'!$B$7*MAX('Mgmt Assumptions'!$B$11,CEILING(A26/$B$14,1))</f>
        <v>53030.0105</v>
      </c>
      <c r="F26" s="78" t="n">
        <f aca="false">'Mgmt Assumptions'!$B$16+'Mgmt Assumptions'!$B$17+'Agent Cost'!$H$8*A26</f>
        <v>30624.96</v>
      </c>
      <c r="G26" s="81" t="str">
        <f aca="false">IF(E26&lt;D26,"Three-tier","Algo+human")</f>
        <v>Algo+human</v>
      </c>
      <c r="H26" s="78" t="n">
        <f aca="false">E26-D26</f>
        <v>8030.0105</v>
      </c>
    </row>
    <row r="27" customFormat="false" ht="15" hidden="false" customHeight="true" outlineLevel="0" collapsed="false">
      <c r="A27" s="19" t="n">
        <v>250</v>
      </c>
      <c r="B27" s="78" t="n">
        <f aca="false">'Mgmt Assumptions'!$B$7*MAX('Mgmt Assumptions'!$B$9,CEILING(A27/'Mgmt Assumptions'!$B$8,1))</f>
        <v>180000</v>
      </c>
      <c r="C27" s="91" t="n">
        <f aca="false">$B$5+'Mgmt Assumptions'!$B$17+$B$7*A27</f>
        <v>27000</v>
      </c>
      <c r="D27" s="78" t="n">
        <f aca="false">$B$5+$B$7*A27+'Mgmt Assumptions'!$B$7*MAX('Mgmt Assumptions'!$B$11,CEILING(A27/$B$6,1))</f>
        <v>65000</v>
      </c>
      <c r="E27" s="77" t="n">
        <f aca="false">$B$5+$B$13+$B$12*A27+'Mgmt Assumptions'!$B$7*MAX('Mgmt Assumptions'!$B$11,CEILING(A27/$B$14,1))</f>
        <v>53050.0175</v>
      </c>
      <c r="F27" s="78" t="n">
        <f aca="false">'Mgmt Assumptions'!$B$16+'Mgmt Assumptions'!$B$17+'Agent Cost'!$H$8*A27</f>
        <v>31041.6</v>
      </c>
      <c r="G27" s="81" t="str">
        <f aca="false">IF(E27&lt;D27,"Three-tier","Algo+human")</f>
        <v>Three-tier</v>
      </c>
      <c r="H27" s="78" t="n">
        <f aca="false">E27-D27</f>
        <v>-11949.9825</v>
      </c>
    </row>
    <row r="28" customFormat="false" ht="15" hidden="false" customHeight="true" outlineLevel="0" collapsed="false">
      <c r="A28" s="19" t="n">
        <v>500</v>
      </c>
      <c r="B28" s="78" t="n">
        <f aca="false">'Mgmt Assumptions'!$B$7*MAX('Mgmt Assumptions'!$B$9,CEILING(A28/'Mgmt Assumptions'!$B$8,1))</f>
        <v>340000</v>
      </c>
      <c r="C28" s="91" t="n">
        <f aca="false">$B$5+'Mgmt Assumptions'!$B$17+$B$7*A28</f>
        <v>27000</v>
      </c>
      <c r="D28" s="78" t="n">
        <f aca="false">$B$5+$B$7*A28+'Mgmt Assumptions'!$B$7*MAX('Mgmt Assumptions'!$B$11,CEILING(A28/$B$6,1))</f>
        <v>105000</v>
      </c>
      <c r="E28" s="77" t="n">
        <f aca="false">$B$5+$B$13+$B$12*A28+'Mgmt Assumptions'!$B$7*MAX('Mgmt Assumptions'!$B$11,CEILING(A28/$B$14,1))</f>
        <v>73100.035</v>
      </c>
      <c r="F28" s="78" t="n">
        <f aca="false">'Mgmt Assumptions'!$B$16+'Mgmt Assumptions'!$B$17+'Agent Cost'!$H$8*A28</f>
        <v>32083.2</v>
      </c>
      <c r="G28" s="81" t="str">
        <f aca="false">IF(E28&lt;D28,"Three-tier","Algo+human")</f>
        <v>Three-tier</v>
      </c>
      <c r="H28" s="78" t="n">
        <f aca="false">E28-D28</f>
        <v>-31899.965</v>
      </c>
    </row>
    <row r="29" customFormat="false" ht="15" hidden="false" customHeight="true" outlineLevel="0" collapsed="false">
      <c r="A29" s="19" t="n">
        <v>1000</v>
      </c>
      <c r="B29" s="78" t="n">
        <f aca="false">'Mgmt Assumptions'!$B$7*MAX('Mgmt Assumptions'!$B$9,CEILING(A29/'Mgmt Assumptions'!$B$8,1))</f>
        <v>680000</v>
      </c>
      <c r="C29" s="91" t="n">
        <f aca="false">$B$5+'Mgmt Assumptions'!$B$17+$B$7*A29</f>
        <v>27000</v>
      </c>
      <c r="D29" s="78" t="n">
        <f aca="false">$B$5+$B$7*A29+'Mgmt Assumptions'!$B$7*MAX('Mgmt Assumptions'!$B$11,CEILING(A29/$B$6,1))</f>
        <v>165000</v>
      </c>
      <c r="E29" s="77" t="n">
        <f aca="false">$B$5+$B$13+$B$12*A29+'Mgmt Assumptions'!$B$7*MAX('Mgmt Assumptions'!$B$11,CEILING(A29/$B$14,1))</f>
        <v>113200.07</v>
      </c>
      <c r="F29" s="78" t="n">
        <f aca="false">'Mgmt Assumptions'!$B$16+'Mgmt Assumptions'!$B$17+'Agent Cost'!$H$8*A29</f>
        <v>34166.4</v>
      </c>
      <c r="G29" s="81" t="str">
        <f aca="false">IF(E29&lt;D29,"Three-tier","Algo+human")</f>
        <v>Three-tier</v>
      </c>
      <c r="H29" s="78" t="n">
        <f aca="false">E29-D29</f>
        <v>-51799.93</v>
      </c>
    </row>
    <row r="30" customFormat="false" ht="15" hidden="false" customHeight="true" outlineLevel="0" collapsed="false">
      <c r="A30" s="19" t="n">
        <v>2500</v>
      </c>
      <c r="B30" s="78" t="n">
        <f aca="false">'Mgmt Assumptions'!$B$7*MAX('Mgmt Assumptions'!$B$9,CEILING(A30/'Mgmt Assumptions'!$B$8,1))</f>
        <v>1680000</v>
      </c>
      <c r="C30" s="91" t="n">
        <f aca="false">$B$5+'Mgmt Assumptions'!$B$17+$B$7*A30</f>
        <v>27000</v>
      </c>
      <c r="D30" s="78" t="n">
        <f aca="false">$B$5+$B$7*A30+'Mgmt Assumptions'!$B$7*MAX('Mgmt Assumptions'!$B$11,CEILING(A30/$B$6,1))</f>
        <v>365000</v>
      </c>
      <c r="E30" s="77" t="n">
        <f aca="false">$B$5+$B$13+$B$12*A30+'Mgmt Assumptions'!$B$7*MAX('Mgmt Assumptions'!$B$11,CEILING(A30/$B$14,1))</f>
        <v>213500.175</v>
      </c>
      <c r="F30" s="78" t="n">
        <f aca="false">'Mgmt Assumptions'!$B$16+'Mgmt Assumptions'!$B$17+'Agent Cost'!$H$8*A30</f>
        <v>40416</v>
      </c>
      <c r="G30" s="81" t="str">
        <f aca="false">IF(E30&lt;D30,"Three-tier","Algo+human")</f>
        <v>Three-tier</v>
      </c>
      <c r="H30" s="78" t="n">
        <f aca="false">E30-D30</f>
        <v>-151499.825</v>
      </c>
    </row>
    <row r="31" customFormat="false" ht="15" hidden="false" customHeight="true" outlineLevel="0" collapsed="false">
      <c r="A31" s="19" t="n">
        <v>5000</v>
      </c>
      <c r="B31" s="78" t="n">
        <f aca="false">'Mgmt Assumptions'!$B$7*MAX('Mgmt Assumptions'!$B$9,CEILING(A31/'Mgmt Assumptions'!$B$8,1))</f>
        <v>3340000</v>
      </c>
      <c r="C31" s="91" t="n">
        <f aca="false">$B$5+'Mgmt Assumptions'!$B$17+$B$7*A31</f>
        <v>27000</v>
      </c>
      <c r="D31" s="78" t="n">
        <f aca="false">$B$5+$B$7*A31+'Mgmt Assumptions'!$B$7*MAX('Mgmt Assumptions'!$B$11,CEILING(A31/$B$6,1))</f>
        <v>705000</v>
      </c>
      <c r="E31" s="77" t="n">
        <f aca="false">$B$5+$B$13+$B$12*A31+'Mgmt Assumptions'!$B$7*MAX('Mgmt Assumptions'!$B$11,CEILING(A31/$B$14,1))</f>
        <v>374000.35</v>
      </c>
      <c r="F31" s="78" t="n">
        <f aca="false">'Mgmt Assumptions'!$B$16+'Mgmt Assumptions'!$B$17+'Agent Cost'!$H$8*A31</f>
        <v>50832</v>
      </c>
      <c r="G31" s="81" t="str">
        <f aca="false">IF(E31&lt;D31,"Three-tier","Algo+human")</f>
        <v>Three-tier</v>
      </c>
      <c r="H31" s="78" t="n">
        <f aca="false">E31-D31</f>
        <v>-330999.65</v>
      </c>
    </row>
    <row r="32" customFormat="false" ht="15" hidden="false" customHeight="true" outlineLevel="0" collapsed="false">
      <c r="A32" s="19" t="n">
        <v>12074</v>
      </c>
      <c r="B32" s="78" t="n">
        <f aca="false">'Mgmt Assumptions'!$B$7*MAX('Mgmt Assumptions'!$B$9,CEILING(A32/'Mgmt Assumptions'!$B$8,1))</f>
        <v>8060000</v>
      </c>
      <c r="C32" s="91" t="n">
        <f aca="false">$B$5+'Mgmt Assumptions'!$B$17+$B$7*A32</f>
        <v>27000</v>
      </c>
      <c r="D32" s="78" t="n">
        <f aca="false">$B$5+$B$7*A32+'Mgmt Assumptions'!$B$7*MAX('Mgmt Assumptions'!$B$11,CEILING(A32/$B$6,1))</f>
        <v>1645000</v>
      </c>
      <c r="E32" s="77" t="n">
        <f aca="false">$B$5+$B$13+$B$12*A32+'Mgmt Assumptions'!$B$7*MAX('Mgmt Assumptions'!$B$11,CEILING(A32/$B$14,1))</f>
        <v>855415.64518</v>
      </c>
      <c r="F32" s="78" t="n">
        <f aca="false">'Mgmt Assumptions'!$B$16+'Mgmt Assumptions'!$B$17+'Agent Cost'!$H$8*A32</f>
        <v>80305.1136</v>
      </c>
      <c r="G32" s="81" t="str">
        <f aca="false">IF(E32&lt;D32,"Three-tier","Algo+human")</f>
        <v>Three-tier</v>
      </c>
      <c r="H32" s="78" t="n">
        <f aca="false">E32-D32</f>
        <v>-789584.35482</v>
      </c>
    </row>
    <row r="34" customFormat="false" ht="15" hidden="false" customHeight="true" outlineLevel="0" collapsed="false">
      <c r="A34" s="82" t="s">
        <v>488</v>
      </c>
      <c r="B34" s="83"/>
      <c r="C34" s="83"/>
      <c r="D34" s="83"/>
      <c r="E34" s="83"/>
      <c r="F34" s="83"/>
      <c r="G34" s="83"/>
      <c r="H34" s="83"/>
      <c r="I34" s="83"/>
      <c r="J34" s="83"/>
    </row>
    <row r="35" customFormat="false" ht="15" hidden="false" customHeight="true" outlineLevel="0" collapsed="false">
      <c r="A35" s="9" t="s">
        <v>489</v>
      </c>
      <c r="C35" s="78" t="n">
        <f aca="false">$B$5+'Mgmt Assumptions'!$B$17+$B$7*1</f>
        <v>27000</v>
      </c>
    </row>
    <row r="36" customFormat="false" ht="15" hidden="false" customHeight="true" outlineLevel="0" collapsed="false">
      <c r="A36" s="9" t="s">
        <v>490</v>
      </c>
      <c r="C36" s="15" t="n">
        <f aca="false">INDEX(A22:A32,MATCH(TRUE(),INDEX(E22:E32&lt;D22:D32,0),0))</f>
        <v>250</v>
      </c>
    </row>
    <row r="37" customFormat="false" ht="15" hidden="false" customHeight="true" outlineLevel="0" collapsed="false">
      <c r="A37" s="9" t="s">
        <v>491</v>
      </c>
      <c r="C37" s="80" t="n">
        <f aca="false">B12/'Agent Cost'!$H$8</f>
        <v>0.0480198732718894</v>
      </c>
    </row>
    <row r="39" customFormat="false" ht="15" hidden="false" customHeight="true" outlineLevel="0" collapsed="false">
      <c r="A39" s="53" t="s">
        <v>492</v>
      </c>
    </row>
    <row r="40" customFormat="false" ht="15" hidden="false" customHeight="true" outlineLevel="0" collapsed="false">
      <c r="A40" s="53" t="s">
        <v>493</v>
      </c>
    </row>
    <row r="41" customFormat="false" ht="15" hidden="false" customHeight="true" outlineLevel="0" collapsed="false">
      <c r="A41" s="53" t="s">
        <v>494</v>
      </c>
    </row>
    <row r="42" customFormat="false" ht="15" hidden="false" customHeight="true" outlineLevel="0" collapsed="false">
      <c r="A42" s="53" t="s">
        <v>495</v>
      </c>
    </row>
    <row r="43" customFormat="false" ht="15" hidden="false" customHeight="true" outlineLevel="0" collapsed="false">
      <c r="A43" s="53" t="s">
        <v>496</v>
      </c>
    </row>
    <row r="44" customFormat="false" ht="15" hidden="false" customHeight="true" outlineLevel="0" collapsed="false">
      <c r="A44" s="53" t="s">
        <v>497</v>
      </c>
    </row>
    <row r="45" customFormat="false" ht="15" hidden="false" customHeight="true" outlineLevel="0" collapsed="false">
      <c r="A45" s="53" t="s">
        <v>498</v>
      </c>
    </row>
    <row r="46" customFormat="false" ht="15" hidden="false" customHeight="true" outlineLevel="0" collapsed="false">
      <c r="A46" s="53" t="s">
        <v>499</v>
      </c>
    </row>
    <row r="47" customFormat="false" ht="15" hidden="false" customHeight="true" outlineLevel="0" collapsed="false">
      <c r="A47" s="53" t="s">
        <v>500</v>
      </c>
    </row>
    <row r="48" customFormat="false" ht="15" hidden="false" customHeight="true" outlineLevel="0" collapsed="false">
      <c r="A48" s="53" t="s">
        <v>501</v>
      </c>
    </row>
    <row r="49" customFormat="false" ht="15" hidden="false" customHeight="true" outlineLevel="0" collapsed="false">
      <c r="A49" s="53" t="s">
        <v>502</v>
      </c>
    </row>
    <row r="50" customFormat="false" ht="15" hidden="false" customHeight="true" outlineLevel="0" collapsed="false">
      <c r="A50" s="53" t="s">
        <v>503</v>
      </c>
    </row>
    <row r="51" customFormat="false" ht="15" hidden="false" customHeight="true" outlineLevel="0" collapsed="false">
      <c r="A51" s="53" t="s">
        <v>504</v>
      </c>
    </row>
    <row r="52" customFormat="false" ht="15" hidden="false" customHeight="true" outlineLevel="0" collapsed="false">
      <c r="A52" s="53" t="s">
        <v>505</v>
      </c>
    </row>
    <row r="53" customFormat="false" ht="15" hidden="false" customHeight="true" outlineLevel="0" collapsed="false">
      <c r="A53" s="53" t="s">
        <v>506</v>
      </c>
    </row>
    <row r="54" customFormat="false" ht="15" hidden="false" customHeight="true" outlineLevel="0" collapsed="false">
      <c r="A54" s="53" t="s">
        <v>507</v>
      </c>
    </row>
    <row r="55" customFormat="false" ht="15" hidden="false" customHeight="true" outlineLevel="0" collapsed="false">
      <c r="A55" s="53" t="s">
        <v>508</v>
      </c>
    </row>
    <row r="56" customFormat="false" ht="15" hidden="false" customHeight="true" outlineLevel="0" collapsed="false">
      <c r="A56" s="53" t="s">
        <v>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2026-06-11T00:09:14Z</dcterms:created>
  <dc:creator>openpyxl</dc:creator>
  <dc:description/>
  <dc:language>en-US</dc:language>
  <cp:lastModifiedBy/>
  <dcterms:modified xsi:type="dcterms:W3CDTF">2026-06-15T23:36:21Z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