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ch List" sheetId="1" state="visible" r:id="rId3"/>
    <sheet name="Branches" sheetId="2" state="visible" r:id="rId4"/>
    <sheet name="Open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<sst xmlns="http://schemas.openxmlformats.org/spreadsheetml/2006/main" count="718" uniqueCount="455">
  <si>
    <t xml:space="preserve">f1r3node-rust: the path to a working branch with REV stacks (stall-loop design, revision 5)</t>
  </si>
  <si>
    <t xml:space="preserve">Created 2026-10-29 against dev at 252a86d1d. Patch IDs and the two new branch names are proposed. Blue rows are branch markers (where a branch starts or is rebased); green rows are milestone markers (a pull request, a tag or a phase exit); orange rows open a phase. Grey italic rows are dropped. Yellow cells are for you to fill in.</t>
  </si>
  <si>
    <t xml:space="preserve">#</t>
  </si>
  <si>
    <t xml:space="preserve">Phase</t>
  </si>
  <si>
    <t xml:space="preserve">Patch</t>
  </si>
  <si>
    <t xml:space="preserve">Branch</t>
  </si>
  <si>
    <t xml:space="preserve">Title</t>
  </si>
  <si>
    <t xml:space="preserve">Content</t>
  </si>
  <si>
    <t xml:space="preserve">Source</t>
  </si>
  <si>
    <t xml:space="preserve">Main files</t>
  </si>
  <si>
    <t xml:space="preserve">Depends on</t>
  </si>
  <si>
    <t xml:space="preserve">Apply expectation</t>
  </si>
  <si>
    <t xml:space="preserve">Exit evidence</t>
  </si>
  <si>
    <t xml:space="preserve">Size</t>
  </si>
  <si>
    <t xml:space="preserve">Status</t>
  </si>
  <si>
    <t xml:space="preserve">PR number</t>
  </si>
  <si>
    <t xml:space="preserve">Merged? (Yes/No)</t>
  </si>
  <si>
    <t xml:space="preserve">PHASE 0 - Reduced Track A onto current dev (1 to 1.5 weeks). Its own pull request to dev.</t>
  </si>
  <si>
    <t xml:space="preserve">BRANCH  fix/stall-track-a-on-dev  created from dev @ 252a86d1d (2026-10-28).  Sources: fix/finality-stall-track-a @ 6deb949b6, fix/finalizer-forward-progress @ c36932d26, fix/stall-track-a-rest @ 0cb21310d.</t>
  </si>
  <si>
    <t xml:space="preserve">P0-00</t>
  </si>
  <si>
    <t xml:space="preserve">fix/stall-track-a-on-dev</t>
  </si>
  <si>
    <t xml:space="preserve">Reconciliation list (no code)</t>
  </si>
  <si>
    <t xml:space="preserve">Written list, reviewed before any code changes: for A1a, A4, A5 and A7, what dev already does, what Track A adds, what is kept and what is dropped. Also which clone-audit Tier 0 fixes dev already has.</t>
  </si>
  <si>
    <t xml:space="preserve">dev 2edcb0bcc (oracle verdicts within a derivation, validated floor kept); 30453da91, 23dc2cd53, f1bc683d5 (pool snapshot reuse, mutex-free pool); bbfd6c00d (cone walk over cached block facts); a596e3eea, ecef0dd68, 2051b551a (buffer eviction, re-fetch cooldown)</t>
  </si>
  <si>
    <t xml:space="preserve">-</t>
  </si>
  <si>
    <t xml:space="preserve">n/a</t>
  </si>
  <si>
    <t xml:space="preserve">Your review of the list</t>
  </si>
  <si>
    <t xml:space="preserve">S</t>
  </si>
  <si>
    <t xml:space="preserve">Not started</t>
  </si>
  <si>
    <t xml:space="preserve">P0-01</t>
  </si>
  <si>
    <t xml:space="preserve">A2 Coalesce deploy-triggered proposals</t>
  </si>
  <si>
    <t xml:space="preserve">Deploy-triggered proposals coalesce; they never mint empty blocks.</t>
  </si>
  <si>
    <t xml:space="preserve">cherry-pick c93cff5ff</t>
  </si>
  <si>
    <t xml:space="preserve">casper/src/rust/blocks/proposer/*</t>
  </si>
  <si>
    <t xml:space="preserve">Clean</t>
  </si>
  <si>
    <t xml:space="preserve">Proposer queue depth &lt;= 1; existing A2 tests pass on dev</t>
  </si>
  <si>
    <t xml:space="preserve">Ready</t>
  </si>
  <si>
    <t xml:space="preserve">P0-02</t>
  </si>
  <si>
    <t xml:space="preserve">A8 DAG indices in memory</t>
  </si>
  <si>
    <t xml:space="preserve">Latest messages and invalid blocks in memory; contains() without a representation; read-only equivocation access under the read lock.</t>
  </si>
  <si>
    <t xml:space="preserve">cherry-pick 5d2f3aae2</t>
  </si>
  <si>
    <t xml:space="preserve">block-storage/src/rust/dag/block_dag_key_value_storage.rs</t>
  </si>
  <si>
    <t xml:space="preserve">No full-table scan per block; block-storage tests</t>
  </si>
  <si>
    <t xml:space="preserve">M</t>
  </si>
  <si>
    <t xml:space="preserve">P0-03</t>
  </si>
  <si>
    <t xml:space="preserve">A6 Merge, replay and checkpoint off async workers</t>
  </si>
  <si>
    <t xml:space="preserve">Replay, merge and checkpoint run in block_in_place.</t>
  </si>
  <si>
    <t xml:space="preserve">cherry-pick 568773a3a</t>
  </si>
  <si>
    <t xml:space="preserve">casper interpreter_util.rs, block processing</t>
  </si>
  <si>
    <t xml:space="preserve">No consensus CPU work on tokio workers; casper tests</t>
  </si>
  <si>
    <t xml:space="preserve">P0-04</t>
  </si>
  <si>
    <t xml:space="preserve">A1c part 1: atomic commit_lfb</t>
  </si>
  <si>
    <t xml:space="preserve">commit_lfb validates under the write lock and writes metadata, commit marker and LFB pointer in one LMDB transaction; API path commits through the same check.</t>
  </si>
  <si>
    <t xml:space="preserve">cherry-pick 86fd26ffe (with 634976db2 tests if separate)</t>
  </si>
  <si>
    <t xml:space="preserve">block_dag_key_value_storage.rs, finalization_runner.rs</t>
  </si>
  <si>
    <t xml:space="preserve">Clean; check against dev ec3e3ef4b (finalizer as the one LFB writer)</t>
  </si>
  <si>
    <t xml:space="preserve">A commit is never partial; commit_lfb refusal tests</t>
  </si>
  <si>
    <t xml:space="preserve">P0-05</t>
  </si>
  <si>
    <t xml:space="preserve">A1a Oracle progress across timed-out runs (reduced)</t>
  </si>
  <si>
    <t xml:space="preserve">Keep only what dev lacks: the cache of facts about immutable blocks shared across runs and snapshots, and the immediate rerun after a timeout (at most three in a row). Dev already shares verdicts within one derivation and keeps the validated floor.</t>
  </si>
  <si>
    <t xml:space="preserve">8ba8b77f1, reduced per P0-00</t>
  </si>
  <si>
    <t xml:space="preserve">casper/src/rust/finality/*, finalization_runner.rs</t>
  </si>
  <si>
    <t xml:space="preserve">Conflicts (dev 2edcb0bcc)</t>
  </si>
  <si>
    <t xml:space="preserve">Cached and uncached derivations give the same floor across seven snapshots; timeout-rerun tests</t>
  </si>
  <si>
    <t xml:space="preserve">Needs reconciliation</t>
  </si>
  <si>
    <t xml:space="preserve">P0-06</t>
  </si>
  <si>
    <t xml:space="preserve">A1b Time only the derivation</t>
  </si>
  <si>
    <t xml:space="preserve">The 15 s deadline covers the derivation only; the commit is never cancelled.</t>
  </si>
  <si>
    <t xml:space="preserve">5d78f252c</t>
  </si>
  <si>
    <t xml:space="preserve">finalization_runner.rs</t>
  </si>
  <si>
    <t xml:space="preserve">P0-04, P0-05</t>
  </si>
  <si>
    <t xml:space="preserve">Conflicts (dev d03621406, 3a455a679)</t>
  </si>
  <si>
    <t xml:space="preserve">A timed-out run never commits; a commit is never cancelled</t>
  </si>
  <si>
    <t xml:space="preserve">Needs port</t>
  </si>
  <si>
    <t xml:space="preserve">P0-07</t>
  </si>
  <si>
    <t xml:space="preserve">A1c part 2: resumable floor cursor</t>
  </si>
  <si>
    <t xml:space="preserve">FloorCursor with snapshot identity and reset-then-freeze policy; events publish after commit with a commit epoch, republished after a crash.</t>
  </si>
  <si>
    <t xml:space="preserve">a6f9155bb</t>
  </si>
  <si>
    <t xml:space="preserve">Conflicts</t>
  </si>
  <si>
    <t xml:space="preserve">Finalizer property tests; LFB never stalls in the soak</t>
  </si>
  <si>
    <t xml:space="preserve">P0-08</t>
  </si>
  <si>
    <t xml:space="preserve">A1 Finalizer forward-progress tests</t>
  </si>
  <si>
    <t xml:space="preserve">The forward-progress test suite, adapted to dev's finalizer task structure.</t>
  </si>
  <si>
    <t xml:space="preserve">8b1b10f2a, plus coverage merged in #812</t>
  </si>
  <si>
    <t xml:space="preserve">casper/tests/*</t>
  </si>
  <si>
    <t xml:space="preserve">Adapt</t>
  </si>
  <si>
    <t xml:space="preserve">Tests pass on the branch</t>
  </si>
  <si>
    <t xml:space="preserve">P0-09</t>
  </si>
  <si>
    <t xml:space="preserve">A3 Pace proposals and cap the deploy pool</t>
  </si>
  <si>
    <t xml:space="preserve">No user deploys in a proposal when floor distance &gt; 128; pool refuses deploys above 64 x max-user-deploys-per-block with a retryable error (HTTP 503, Retry-After).</t>
  </si>
  <si>
    <t xml:space="preserve">d1c3a970f</t>
  </si>
  <si>
    <t xml:space="preserve">block_creator.rs, deploy pool, web API</t>
  </si>
  <si>
    <t xml:space="preserve">Conflicts (block_creator.rs)</t>
  </si>
  <si>
    <t xml:space="preserve">Floor distance bounded under burst load</t>
  </si>
  <si>
    <t xml:space="preserve">P0-10</t>
  </si>
  <si>
    <t xml:space="preserve">A4 One pool read per proposal (reduced)</t>
  </si>
  <si>
    <t xml:space="preserve">Keep only what dev lacks after its snapshot reuse: each stored encoding verified once per process; pool cap checked under the insert lock.</t>
  </si>
  <si>
    <t xml:space="preserve">600689764, c4b8b40c4 (PoolSnapshot tests), reduced per P0-00</t>
  </si>
  <si>
    <t xml:space="preserve">block_creator.rs, deploy pool storage</t>
  </si>
  <si>
    <t xml:space="preserve">P0-00, P0-09</t>
  </si>
  <si>
    <t xml:space="preserve">Conflicts (dev 30453da91, 23dc2cd53, f1bc683d5)</t>
  </si>
  <si>
    <t xml:space="preserve">Prepare time flat in pool size</t>
  </si>
  <si>
    <t xml:space="preserve">P0-11</t>
  </si>
  <si>
    <t xml:space="preserve">A5 Batch the lifecycle register (reduced)</t>
  </si>
  <si>
    <t xml:space="preserve">Lifecycle register batched per floor advance over cached block_facts, where dev's cone walk does not already cover it.</t>
  </si>
  <si>
    <t xml:space="preserve">1a928edc4, reduced per P0-00</t>
  </si>
  <si>
    <t xml:space="preserve">casper/src/rust/finality/deploy_lifecycle.rs</t>
  </si>
  <si>
    <t xml:space="preserve">Conflicts (dev bbfd6c00d)</t>
  </si>
  <si>
    <t xml:space="preserve">Observe time flat in open signatures</t>
  </si>
  <si>
    <t xml:space="preserve">P0-12</t>
  </si>
  <si>
    <t xml:space="preserve">A9 Cap the legacy rejection search</t>
  </si>
  <si>
    <t xml:space="preserve">Per-group cap of 16 branches with deterministic greedy fallback, from rejection-search-cap-from-height; off by default.</t>
  </si>
  <si>
    <t xml:space="preserve">16c57af9c</t>
  </si>
  <si>
    <t xml:space="preserve">casper merging (dag_merger.rs), configuration</t>
  </si>
  <si>
    <t xml:space="preserve">Bounded merge time; default-off leaves behaviour unchanged</t>
  </si>
  <si>
    <t xml:space="preserve">A7 Buffer eviction and re-fetch cooldown</t>
  </si>
  <si>
    <t xml:space="preserve">Dropped: dev has the equivalent (oldest-entry eviction and kept re-fetch cooldown, plus recoverable evicted blocks).</t>
  </si>
  <si>
    <t xml:space="preserve">46d49cb83 (not ported); dev a596e3eea, ecef0dd68, 2051b551a</t>
  </si>
  <si>
    <t xml:space="preserve">Dropped</t>
  </si>
  <si>
    <t xml:space="preserve">Track A supply-chain commits</t>
  </si>
  <si>
    <t xml:space="preserve">Dropped: dev carries its own patched webpki and deny/policy state.</t>
  </si>
  <si>
    <t xml:space="preserve">f2e8fb896, 05f2a3fa7, 155153ed4, 435e47554 (not ported)</t>
  </si>
  <si>
    <t xml:space="preserve">P0-13</t>
  </si>
  <si>
    <t xml:space="preserve">fix/clone-audit-tier0 (separate)</t>
  </si>
  <si>
    <t xml:space="preserve">Clone-audit Tier 0 fixes</t>
  </si>
  <si>
    <t xml:space="preserve">Quadratic Env::put copying, quadratic replay scan, quadratic match fall-through, quadratic stream reassembly; port only those P0-00 finds missing on dev. Independent of cost accounting; separate small PR.</t>
  </si>
  <si>
    <t xml:space="preserve">publications f1r3node-profiling/clone-audit.tex</t>
  </si>
  <si>
    <t xml:space="preserve">rholang/src/rust/interpreter/*</t>
  </si>
  <si>
    <t xml:space="preserve">New code</t>
  </si>
  <si>
    <t xml:space="preserve">Microbenchmarks of the clone audit improve; full rholang tests pass</t>
  </si>
  <si>
    <t xml:space="preserve">Check dev first</t>
  </si>
  <si>
    <t xml:space="preserve">MILESTONE  Phase 0 exit: stall and finalizer tests pass on the branch; prepush green.  Open PR fix/stall-track-a-on-dev -&gt; dev.</t>
  </si>
  <si>
    <t xml:space="preserve">MILESTONE  PR merged to dev.  Record the merge commit as marker M0 (suggested tag: rev-stacks/m0-track-a).</t>
  </si>
  <si>
    <t xml:space="preserve">PHASE 1 - The v6 seam on dev (1.5 to 2 weeks).</t>
  </si>
  <si>
    <t xml:space="preserve">BRANCH  feature/rev-stacks-ote  created from fix/stall-track-a-on-dev tip (before the PR merges), then rebased onto dev at M0.  Seam sources: feature/cost-accounted-ote @ 00e937882; integration/cost-accounted-ote-b1d866e45 @ d1f3ab5e1 (patches 0028 to 0035).</t>
  </si>
  <si>
    <t xml:space="preserve">P1-01</t>
  </si>
  <si>
    <t xml:space="preserve">feature/rev-stacks-ote</t>
  </si>
  <si>
    <t xml:space="preserve">v6 module and hook points</t>
  </si>
  <si>
    <t xml:space="preserve">The v6 order-then-execute module; the v6 flag and hook points in the proposer, validation and finalizer.</t>
  </si>
  <si>
    <t xml:space="preserve">port cfc62b6ee, 8fff49669 (feature/cost-accounted-ote)</t>
  </si>
  <si>
    <t xml:space="preserve">casper/src/rust/v6/*, casper.rs, finalization_runner.rs</t>
  </si>
  <si>
    <t xml:space="preserve">M0</t>
  </si>
  <si>
    <t xml:space="preserve">Conflicts in 9 files (mostly constructor and test-harness signatures)</t>
  </si>
  <si>
    <t xml:space="preserve">Crate builds; existing casper tests pass</t>
  </si>
  <si>
    <t xml:space="preserve">P1-02</t>
  </si>
  <si>
    <t xml:space="preserve">Tranche 1 tests and docs</t>
  </si>
  <si>
    <t xml:space="preserve">Three-validator test, format, documentation, coverage of v6 helpers and validity envelope-rejection branches.</t>
  </si>
  <si>
    <t xml:space="preserve">port 5260aeda9, 456419895, e7469fd47, 320fc5e1a</t>
  </si>
  <si>
    <t xml:space="preserve">casper/tests/*, test_node.rs, API tests</t>
  </si>
  <si>
    <t xml:space="preserve">Adapt to dev harness</t>
  </si>
  <si>
    <t xml:space="preserve">Three-validator v6 test passes</t>
  </si>
  <si>
    <t xml:space="preserve">P1-03</t>
  </si>
  <si>
    <t xml:space="preserve">Protocol-6 genesis and ordered envelopes in bodies</t>
  </si>
  <si>
    <t xml:space="preserve">Protocol-6 genesis and shard-wide mode switch; ordered envelopes in v6 bodies. Plain signed DeployData carrying phloLimit and phloPrice; no costacc types.</t>
  </si>
  <si>
    <t xml:space="preserve">adapt 5b006ce52, 14e800d18 (integration branch) without the costacc dependencies</t>
  </si>
  <si>
    <t xml:space="preserve">genesis, casper/src/rust/v6/*, models protobuf</t>
  </si>
  <si>
    <t xml:space="preserve">Rewrite of costacc-coupled parts</t>
  </si>
  <si>
    <t xml:space="preserve">v6 genesis builds; bodies round-trip</t>
  </si>
  <si>
    <t xml:space="preserve">P1-04</t>
  </si>
  <si>
    <t xml:space="preserve">The executor on dev's meter</t>
  </si>
  <si>
    <t xml:space="preserve">Concurrent runs from the block pre-state, one runtime session per envelope, dev's per-runtime phlo meter; merge in block order. Replaces rho_settlement.rs: no settlement contract and no system logs. Charging off (price 0 test shards) until phase 2.</t>
  </si>
  <si>
    <t xml:space="preserve">adapt 98fb36d13, 4cb619605; delete rho_settlement.rs</t>
  </si>
  <si>
    <t xml:space="preserve">casper/src/rust/v6/executor*, runtime manager</t>
  </si>
  <si>
    <t xml:space="preserve">Rewrite of settlement-coupled parts</t>
  </si>
  <si>
    <t xml:space="preserve">Execute and replay agree on a test shard</t>
  </si>
  <si>
    <t xml:space="preserve">P1-05</t>
  </si>
  <si>
    <t xml:space="preserve">0028 Contracts: records, evidence, validator sets, slashing</t>
  </si>
  <si>
    <t xml:space="preserve">As delivered in patch 0028.</t>
  </si>
  <si>
    <t xml:space="preserve">port 3500a5726</t>
  </si>
  <si>
    <t xml:space="preserve">casper/src/main/resources/*.rho, v6</t>
  </si>
  <si>
    <t xml:space="preserve">Expected light</t>
  </si>
  <si>
    <t xml:space="preserve">Contract specs pass</t>
  </si>
  <si>
    <t xml:space="preserve">P1-06</t>
  </si>
  <si>
    <t xml:space="preserve">0029 Records and attestation in a protocol-6 body field</t>
  </si>
  <si>
    <t xml:space="preserve">As delivered in patch 0029; record format without system logs.</t>
  </si>
  <si>
    <t xml:space="preserve">port 8f10cbacc</t>
  </si>
  <si>
    <t xml:space="preserve">models, casper/src/rust/v6/*</t>
  </si>
  <si>
    <t xml:space="preserve">Record and attestation tests</t>
  </si>
  <si>
    <t xml:space="preserve">P1-07</t>
  </si>
  <si>
    <t xml:space="preserve">0030 Persistent v6 executor state</t>
  </si>
  <si>
    <t xml:space="preserve">As delivered in patch 0030.</t>
  </si>
  <si>
    <t xml:space="preserve">port 44bde1f59</t>
  </si>
  <si>
    <t xml:space="preserve">casper/src/rust/v6/*</t>
  </si>
  <si>
    <t xml:space="preserve">Restart tests</t>
  </si>
  <si>
    <t xml:space="preserve">P1-08</t>
  </si>
  <si>
    <t xml:space="preserve">0031 Execution-lag gate</t>
  </si>
  <si>
    <t xml:space="preserve">As delivered in patch 0031.</t>
  </si>
  <si>
    <t xml:space="preserve">port 110452bf9</t>
  </si>
  <si>
    <t xml:space="preserve">block_creator.rs, v6</t>
  </si>
  <si>
    <t xml:space="preserve">Possible conflicts in block_creator.rs</t>
  </si>
  <si>
    <t xml:space="preserve">Lag-gate tests</t>
  </si>
  <si>
    <t xml:space="preserve">P1-09</t>
  </si>
  <si>
    <t xml:space="preserve">0032 Deferred inclusion checks</t>
  </si>
  <si>
    <t xml:space="preserve">As delivered in patch 0032.</t>
  </si>
  <si>
    <t xml:space="preserve">port e6405030a</t>
  </si>
  <si>
    <t xml:space="preserve">validation, v6</t>
  </si>
  <si>
    <t xml:space="preserve">Inclusion-check tests</t>
  </si>
  <si>
    <t xml:space="preserve">P1-10</t>
  </si>
  <si>
    <t xml:space="preserve">0033 A-LIN policy from the protocol version</t>
  </si>
  <si>
    <t xml:space="preserve">As delivered in patch 0033: alarm on legacy, halt on v6.</t>
  </si>
  <si>
    <t xml:space="preserve">port 53f6723d2</t>
  </si>
  <si>
    <t xml:space="preserve">finalization_runner.rs, v6</t>
  </si>
  <si>
    <t xml:space="preserve">P1-09, P0-07</t>
  </si>
  <si>
    <t xml:space="preserve">Conflicts likely (finalizer)</t>
  </si>
  <si>
    <t xml:space="preserve">A-LIN tests</t>
  </si>
  <si>
    <t xml:space="preserve">P1-11</t>
  </si>
  <si>
    <t xml:space="preserve">0034 Prune v6 executor state</t>
  </si>
  <si>
    <t xml:space="preserve">As delivered in patch 0034.</t>
  </si>
  <si>
    <t xml:space="preserve">port f3ab3ec68</t>
  </si>
  <si>
    <t xml:space="preserve">Pruning tests</t>
  </si>
  <si>
    <t xml:space="preserve">P1-12</t>
  </si>
  <si>
    <t xml:space="preserve">0035 Configuration, record packing and pacing</t>
  </si>
  <si>
    <t xml:space="preserve">As delivered in patch 0035, without the vault-settlement record parts.</t>
  </si>
  <si>
    <t xml:space="preserve">port d1f3ab5e1</t>
  </si>
  <si>
    <t xml:space="preserve">node configuration, v6</t>
  </si>
  <si>
    <t xml:space="preserve">Configuration and packing tests</t>
  </si>
  <si>
    <t xml:space="preserve">P1-13</t>
  </si>
  <si>
    <t xml:space="preserve">Offer status and receipts</t>
  </si>
  <si>
    <t xml:space="preserve">Offered-deploy admission, bounded rejection log, retained records, BlockAPI::offered_status and the receipt route.</t>
  </si>
  <si>
    <t xml:space="preserve">adapt 4b160089b, cdc23effd</t>
  </si>
  <si>
    <t xml:space="preserve">casper API, node web routes</t>
  </si>
  <si>
    <t xml:space="preserve">Lifecycle and web tests</t>
  </si>
  <si>
    <t xml:space="preserve">P1-14</t>
  </si>
  <si>
    <t xml:space="preserve">Phase 1 exit tests and cross-host fixture</t>
  </si>
  <si>
    <t xml:space="preserve">Multi-validator ordering, execution, replay and attestation; cross-host replay fixture regenerated; measurement tests carried over (phase_timings_by_block_size, cost_breakdown_of_one_envelope).</t>
  </si>
  <si>
    <t xml:space="preserve">adapt 05fde32d9 and the 0035a measurement tests</t>
  </si>
  <si>
    <t xml:space="preserve">casper/tests/v6_*</t>
  </si>
  <si>
    <t xml:space="preserve">P1-01 to P1-13</t>
  </si>
  <si>
    <t xml:space="preserve">v6 blocks ordered, executed, replayed and attested on a test shard</t>
  </si>
  <si>
    <t xml:space="preserve">MILESTONE  Phase 1 exit.  Rebase onto dev.  Marker M1 (suggested tag: rev-stacks/m1-seam).  Optional PR to dev here, or continue to phase 2.</t>
  </si>
  <si>
    <t xml:space="preserve">PHASE 2 - Native REV (2 to 3 weeks).  Q-18 (canonical settled form) must be answered before P2-05.</t>
  </si>
  <si>
    <t xml:space="preserve">BRANCH  feature/rev-stacks-ote  continues from M1.</t>
  </si>
  <si>
    <t xml:space="preserve">P2-01</t>
  </si>
  <si>
    <t xml:space="preserve">Located REV stacks: native primitives</t>
  </si>
  <si>
    <t xml:space="preserve">Wallet channel computed from the owner's signature (public key, unforgeable name, compound signature); amount cells; deposits as separate datums; combine on spend.</t>
  </si>
  <si>
    <t xml:space="preserve">new</t>
  </si>
  <si>
    <t xml:space="preserve">rholang/src/rust/interpreter/accounting/*, rspace++ native ops</t>
  </si>
  <si>
    <t xml:space="preserve">M1</t>
  </si>
  <si>
    <t xml:space="preserve">Unit tests: deposits commute; spends from one wallet serialize</t>
  </si>
  <si>
    <t xml:space="preserve">P2-02</t>
  </si>
  <si>
    <t xml:space="preserve">Genesis from wallets.txt</t>
  </si>
  <si>
    <t xml:space="preserve">Genesis creates one located stack per wallets.txt line; records the genesis supply; no vault custody on v6 genesis.</t>
  </si>
  <si>
    <t xml:space="preserve">casper genesis</t>
  </si>
  <si>
    <t xml:space="preserve">Genesis supply equals the sum of wallets.txt</t>
  </si>
  <si>
    <t xml:space="preserve">P2-03</t>
  </si>
  <si>
    <t xml:space="preserve">Native transfer and the SystemVault facade</t>
  </si>
  <si>
    <t xml:space="preserve">Transfer as one native debit and one native deposit; facade find returns the wallet channel, transfer is the native transfer.</t>
  </si>
  <si>
    <t xml:space="preserve">new; SystemVaultV6.rho facade</t>
  </si>
  <si>
    <t xml:space="preserve">casper/src/main/resources/*, accounting</t>
  </si>
  <si>
    <t xml:space="preserve">Transfer benchmark: &lt; 12 ms per transfer; &gt;= 150 transfers/s on 2 cores</t>
  </si>
  <si>
    <t xml:space="preserve">P2-04</t>
  </si>
  <si>
    <t xml:space="preserve">The gate and the commitment table</t>
  </si>
  <si>
    <t xml:space="preserve">Delta from phloLimit (until delta_sigma lands); native wallet read at the pre-state; commitment table C accumulated in block order; verdict and commitment in the record. Multi-signer funding refused until P3-02.</t>
  </si>
  <si>
    <t xml:space="preserve">casper/src/rust/v6/gate*</t>
  </si>
  <si>
    <t xml:space="preserve">Gate property tests; sum of commitments never exceeds a balance</t>
  </si>
  <si>
    <t xml:space="preserve">P2-05</t>
  </si>
  <si>
    <t xml:space="preserve">Per-COMM charging to the proposer, canonical form, box-car</t>
  </si>
  <si>
    <t xml:space="preserve">Each COMM costs phloPrice REV from the paying wallet to F_sender(b). Canonical settled form: one combined datum per paying wallet, one deposit datum per envelope on the proposer channel; own-wallet reads see pre-state less commitment. Box-car size as a node configuration parameter.</t>
  </si>
  <si>
    <t xml:space="preserve">reducer cost hook, v6 executor, node configuration</t>
  </si>
  <si>
    <t xml:space="preserve">P2-04, Q-18</t>
  </si>
  <si>
    <t xml:space="preserve">Replay equality across box-car sizes 1, 16, 1024</t>
  </si>
  <si>
    <t xml:space="preserve">P2-06</t>
  </si>
  <si>
    <t xml:space="preserve">Settlement and commitment release</t>
  </si>
  <si>
    <t xml:space="preserve">Apply debits and deposit in canonical form, release C, exhaustion rule (full commitment to the proposer); kappa per wallet in the record.</t>
  </si>
  <si>
    <t xml:space="preserve">v6 executor, records</t>
  </si>
  <si>
    <t xml:space="preserve">Funding microbenchmark &lt; 8 ms for 1 to 4 wallets</t>
  </si>
  <si>
    <t xml:space="preserve">P2-07</t>
  </si>
  <si>
    <t xml:space="preserve">Price floor and node price hook</t>
  </si>
  <si>
    <t xml:space="preserve">Shard minimum price as a block-validity rule (from the genesis policy); validator acceptance price read through a price hook returning the node's configured fixed price.</t>
  </si>
  <si>
    <t xml:space="preserve">validation, block_creator.rs, node configuration</t>
  </si>
  <si>
    <t xml:space="preserve">Below-floor block invalid; below-node-price deploy not included</t>
  </si>
  <si>
    <t xml:space="preserve">P2-08</t>
  </si>
  <si>
    <t xml:space="preserve">REV hook and hook authority</t>
  </si>
  <si>
    <t xml:space="preserve">No-op REV hook installed at genesis, called after each block's settlement (and epoch boundaries, per Q-20); genesis addresses and threshold; hook replacement requires a compound signature meeting the threshold.</t>
  </si>
  <si>
    <t xml:space="preserve">genesis, casper/src/main/resources/*</t>
  </si>
  <si>
    <t xml:space="preserve">P2-02, Q-19, Q-20</t>
  </si>
  <si>
    <t xml:space="preserve">Unauthorised replacement refused; threshold replacement accepted</t>
  </si>
  <si>
    <t xml:space="preserve">P2-09</t>
  </si>
  <si>
    <t xml:space="preserve">Conservation invariant</t>
  </si>
  <si>
    <t xml:space="preserve">After each block, in play and replay, after the hooks: sum over wallets and validator channels equals the genesis supply.</t>
  </si>
  <si>
    <t xml:space="preserve">v6 executor</t>
  </si>
  <si>
    <t xml:space="preserve">P2-06, P2-08</t>
  </si>
  <si>
    <t xml:space="preserve">Checked on every executor and benchmark run</t>
  </si>
  <si>
    <t xml:space="preserve">P2-10</t>
  </si>
  <si>
    <t xml:space="preserve">Record arithmetic and the demand cap</t>
  </si>
  <si>
    <t xml:space="preserve">Per-block demand cap D with 1.25 D + E r0 &lt;= block-record-bytes; genesis check. 0035b dropped.</t>
  </si>
  <si>
    <t xml:space="preserve">v6 records, genesis policy</t>
  </si>
  <si>
    <t xml:space="preserve">A 256-envelope block's record always fits</t>
  </si>
  <si>
    <t xml:space="preserve">P2-11</t>
  </si>
  <si>
    <t xml:space="preserve">Remove the vault-based path</t>
  </si>
  <si>
    <t xml:space="preserve">Remove applyPhloCost and its burn, the precharge and refund system deploys, vault reads in the gate, the cursors, holds, decide_groups, LaterHolds, the fee vault and the fixed fee, where removal is simpler than keeping them.</t>
  </si>
  <si>
    <t xml:space="preserve">deletions</t>
  </si>
  <si>
    <t xml:space="preserve">casper runtime manager, system deploys, SystemVault</t>
  </si>
  <si>
    <t xml:space="preserve">Deletions</t>
  </si>
  <si>
    <t xml:space="preserve">No vault call on the execution path</t>
  </si>
  <si>
    <t xml:space="preserve">P2-12</t>
  </si>
  <si>
    <t xml:space="preserve">Client tooling</t>
  </si>
  <si>
    <t xml:space="preserve">node deploy and the wallet query API on the new path; Embers and the gateway follow.</t>
  </si>
  <si>
    <t xml:space="preserve">node CLI, web API</t>
  </si>
  <si>
    <t xml:space="preserve">End-to-end deploy and transfer from the CLI</t>
  </si>
  <si>
    <t xml:space="preserve">P2-13</t>
  </si>
  <si>
    <t xml:space="preserve">Benchmarks and exit tests</t>
  </si>
  <si>
    <t xml:space="preserve">Block benchmark (settlement &lt; 5 % of block time, flat per envelope from 1 to 64, &gt;= 150 one-sends/s on 2 cores); scaling run on 8 and 16 cores (eta &gt;= 0.6).</t>
  </si>
  <si>
    <t xml:space="preserve">adapt the carried-over measurement tests</t>
  </si>
  <si>
    <t xml:space="preserve">P2-01 to P2-12</t>
  </si>
  <si>
    <t xml:space="preserve">New tests</t>
  </si>
  <si>
    <t xml:space="preserve">Targets met, or a measured explanation</t>
  </si>
  <si>
    <t xml:space="preserve">MILESTONE  Phase 2 exit: working branch with the core of the design.  Rebase onto dev.  Marker M2 (suggested tag: rev-stacks/m2-native-rev).  PR feature/rev-stacks-ote -&gt; dev.</t>
  </si>
  <si>
    <t xml:space="preserve">PHASE 3 - Selective port from the integration branch (2 to 3 weeks, overlapping phase 2). Each item its own change.</t>
  </si>
  <si>
    <t xml:space="preserve">BRANCH  feature/rev-stacks-ote  (or one short branch per item from M2).  Source: integration/cost-accounted-ote-b1d866e45 @ d1f3ab5e1, frozen.</t>
  </si>
  <si>
    <t xml:space="preserve">P3-01</t>
  </si>
  <si>
    <t xml:space="preserve">delta_sigma estimator</t>
  </si>
  <si>
    <t xml:space="preserve">Tighter Delta from the linear proof instead of phloLimit; smaller commitments.</t>
  </si>
  <si>
    <t xml:space="preserve">port rholang accounting/delta_sigma/* (b5f5406e0 and earlier B1/B2 commits)</t>
  </si>
  <si>
    <t xml:space="preserve">rholang/src/rust/interpreter/accounting/delta_sigma/*</t>
  </si>
  <si>
    <t xml:space="preserve">M2</t>
  </si>
  <si>
    <t xml:space="preserve">Port</t>
  </si>
  <si>
    <t xml:space="preserve">Delta &lt;= phloLimit on the corpus; gate tests</t>
  </si>
  <si>
    <t xml:space="preserve">P3-02</t>
  </si>
  <si>
    <t xml:space="preserve">Per-signature metering</t>
  </si>
  <si>
    <t xml:space="preserve">Charge each signature its own share; lifts the multi-signer refusal of P2-04.</t>
  </si>
  <si>
    <t xml:space="preserve">port accounting/authority.rs and related</t>
  </si>
  <si>
    <t xml:space="preserve">rholang accounting</t>
  </si>
  <si>
    <t xml:space="preserve">Multi-signer deploys charged exactly</t>
  </si>
  <si>
    <t xml:space="preserve">P3-03</t>
  </si>
  <si>
    <t xml:space="preserve">Multi-signature wallets</t>
  </si>
  <si>
    <t xml:space="preserve">Compound-signature wallets; spend in full or split explicitly.</t>
  </si>
  <si>
    <t xml:space="preserve">port from the integration branch</t>
  </si>
  <si>
    <t xml:space="preserve">accounting, casper</t>
  </si>
  <si>
    <t xml:space="preserve">Multi-signature wallet tests</t>
  </si>
  <si>
    <t xml:space="preserve">P3-04</t>
  </si>
  <si>
    <t xml:space="preserve">Owners (DR-135)</t>
  </si>
  <si>
    <t xml:space="preserve">Owners pay for stored-process regions from their own REV wallets at their own price; region refusal without REV.</t>
  </si>
  <si>
    <t xml:space="preserve">port owner_offer.rs, e4c8d79d6 owner-funding core (REV parts only)</t>
  </si>
  <si>
    <t xml:space="preserve">casper costacc owner modules</t>
  </si>
  <si>
    <t xml:space="preserve">Port and trim</t>
  </si>
  <si>
    <t xml:space="preserve">DR-135 owner tests on v6</t>
  </si>
  <si>
    <t xml:space="preserve">P3-05</t>
  </si>
  <si>
    <t xml:space="preserve">Sponsors and grants</t>
  </si>
  <si>
    <t xml:space="preserve">Funding slots (unforgeable channels with deposited REV); grants with a validity window checked by the gate.</t>
  </si>
  <si>
    <t xml:space="preserve">new on the funding-slot primitive</t>
  </si>
  <si>
    <t xml:space="preserve">accounting, v6 gate</t>
  </si>
  <si>
    <t xml:space="preserve">Sponsored and granted deploy tests</t>
  </si>
  <si>
    <t xml:space="preserve">P3-06</t>
  </si>
  <si>
    <t xml:space="preserve">Footprints for concurrency</t>
  </si>
  <si>
    <t xml:space="preserve">Bernstein footprints for envelope independence and conflict decisions.</t>
  </si>
  <si>
    <t xml:space="preserve">Conflict tests; scaling run improves</t>
  </si>
  <si>
    <t xml:space="preserve">MILESTONE  Phase 3 exit: full scope.  Rebase onto dev.  Marker M3 (suggested tag: rev-stacks/m3-full).  Final PR to dev.</t>
  </si>
  <si>
    <t xml:space="preserve">FREEZE  integration/cost-accounted-ote-b1d866e45 @ d1f3ab5e1 stays as a reference; not merged.  P1 (vault precharge/refund in the work copy) is not shipped.</t>
  </si>
  <si>
    <t xml:space="preserve">Counts</t>
  </si>
  <si>
    <t xml:space="preserve">Patches (not dropped)</t>
  </si>
  <si>
    <t xml:space="preserve">Merged</t>
  </si>
  <si>
    <t xml:space="preserve">Branches and markers (counts measured 2026-10-29 against dev @ 252a86d1d)</t>
  </si>
  <si>
    <t xml:space="preserve">Role</t>
  </si>
  <si>
    <t xml:space="preserve">Base / created from</t>
  </si>
  <si>
    <t xml:space="preserve">Tip</t>
  </si>
  <si>
    <t xml:space="preserve">Tip date</t>
  </si>
  <si>
    <t xml:space="preserve">Behind dev</t>
  </si>
  <si>
    <t xml:space="preserve">Ahead of dev</t>
  </si>
  <si>
    <t xml:space="preserve">State</t>
  </si>
  <si>
    <t xml:space="preserve">Action</t>
  </si>
  <si>
    <t xml:space="preserve">dev</t>
  </si>
  <si>
    <t xml:space="preserve">Merge target</t>
  </si>
  <si>
    <t xml:space="preserve">252a86d1d</t>
  </si>
  <si>
    <t xml:space="preserve">2026-10-28</t>
  </si>
  <si>
    <t xml:space="preserve">Live</t>
  </si>
  <si>
    <t xml:space="preserve">Base for the new work. Rebase each phase onto it as the phase closes.</t>
  </si>
  <si>
    <t xml:space="preserve">fix/finality-stall-track-a</t>
  </si>
  <si>
    <t xml:space="preserve">Track A source (A1a, A2, A3)</t>
  </si>
  <si>
    <t xml:space="preserve">older dev</t>
  </si>
  <si>
    <t xml:space="preserve">6deb949b6</t>
  </si>
  <si>
    <t xml:space="preserve">2026-10-21</t>
  </si>
  <si>
    <t xml:space="preserve">Cherry-pick into fix/stall-track-a-on-dev; retire after phase 0 merges.</t>
  </si>
  <si>
    <t xml:space="preserve">fix/finalizer-forward-progress</t>
  </si>
  <si>
    <t xml:space="preserve">Track A source (A1b, A1c)</t>
  </si>
  <si>
    <t xml:space="preserve">c36932d26</t>
  </si>
  <si>
    <t xml:space="preserve">As above.</t>
  </si>
  <si>
    <t xml:space="preserve">fix/stall-track-a-rest</t>
  </si>
  <si>
    <t xml:space="preserve">Track A source (A4 to A9)</t>
  </si>
  <si>
    <t xml:space="preserve">0cb21310d</t>
  </si>
  <si>
    <t xml:space="preserve">As above. Its tip carries all of Track A.</t>
  </si>
  <si>
    <t xml:space="preserve">feature/cost-accounted-ote</t>
  </si>
  <si>
    <t xml:space="preserve">v6 seam, tranche 1</t>
  </si>
  <si>
    <t xml:space="preserve">00e937882</t>
  </si>
  <si>
    <t xml:space="preserve">Port into feature/rev-stacks-ote (P1-01, P1-02); 9 conflicting files in the trial merge.</t>
  </si>
  <si>
    <t xml:space="preserve">feature/cost-accounted-rho</t>
  </si>
  <si>
    <t xml:space="preserve">Accounting research branch</t>
  </si>
  <si>
    <t xml:space="preserve">1b5a92f13</t>
  </si>
  <si>
    <t xml:space="preserve">2026-10-27</t>
  </si>
  <si>
    <t xml:space="preserve">Reference</t>
  </si>
  <si>
    <t xml:space="preserve">Source of delta_sigma, authority and owners via the integration branch (phase 3).</t>
  </si>
  <si>
    <t xml:space="preserve">integration/cost-accounted-ote-b1d866e45</t>
  </si>
  <si>
    <t xml:space="preserve">Track B integration, patches to 0035</t>
  </si>
  <si>
    <t xml:space="preserve">dev b1d866e45</t>
  </si>
  <si>
    <t xml:space="preserve">d1f3ab5e1</t>
  </si>
  <si>
    <t xml:space="preserve">Frozen reference</t>
  </si>
  <si>
    <t xml:space="preserve">Do not merge. Source for phase 1 (0028 to 0035) and phase 3 ports.</t>
  </si>
  <si>
    <t xml:space="preserve">fix/stall-track-a-on-dev (proposed)</t>
  </si>
  <si>
    <t xml:space="preserve">Phase 0: reduced Track A</t>
  </si>
  <si>
    <t xml:space="preserve">dev @ 252a86d1d</t>
  </si>
  <si>
    <t xml:space="preserve">To create</t>
  </si>
  <si>
    <t xml:space="preserve">PR to dev at phase 0 exit; marker M0 on merge.</t>
  </si>
  <si>
    <t xml:space="preserve">feature/rev-stacks-ote (proposed)</t>
  </si>
  <si>
    <t xml:space="preserve">Phases 1 to 3</t>
  </si>
  <si>
    <t xml:space="preserve">fix/stall-track-a-on-dev tip, rebased onto dev at M0</t>
  </si>
  <si>
    <t xml:space="preserve">Markers M1, M2, M3; PR to dev at M2 (and M3).</t>
  </si>
  <si>
    <t xml:space="preserve">fix/clone-audit-tier0 (proposed)</t>
  </si>
  <si>
    <t xml:space="preserve">Interpreter defects</t>
  </si>
  <si>
    <t xml:space="preserve">To create if needed</t>
  </si>
  <si>
    <t xml:space="preserve">Only if P0-00 finds Tier 0 fixes missing on dev.</t>
  </si>
  <si>
    <t xml:space="preserve">Markers</t>
  </si>
  <si>
    <t xml:space="preserve">Marker</t>
  </si>
  <si>
    <t xml:space="preserve">Meaning</t>
  </si>
  <si>
    <t xml:space="preserve">Suggested tag</t>
  </si>
  <si>
    <t xml:space="preserve">Commit (fill in)</t>
  </si>
  <si>
    <t xml:space="preserve">Date (fill in)</t>
  </si>
  <si>
    <t xml:space="preserve">Base</t>
  </si>
  <si>
    <t xml:space="preserve">Where the new work starts</t>
  </si>
  <si>
    <t xml:space="preserve">rev-stacks/base</t>
  </si>
  <si>
    <t xml:space="preserve">Phase 0 merged to dev (reduced Track A)</t>
  </si>
  <si>
    <t xml:space="preserve">rev-stacks/m0-track-a</t>
  </si>
  <si>
    <t xml:space="preserve">Phase 1 exit: v6 seam on dev's base</t>
  </si>
  <si>
    <t xml:space="preserve">rev-stacks/m1-seam</t>
  </si>
  <si>
    <t xml:space="preserve">Phase 2 exit: working branch with native REV</t>
  </si>
  <si>
    <t xml:space="preserve">rev-stacks/m2-native-rev</t>
  </si>
  <si>
    <t xml:space="preserve">M3</t>
  </si>
  <si>
    <t xml:space="preserve">Phase 3 exit: full scope</t>
  </si>
  <si>
    <t xml:space="preserve">rev-stacks/m3-full</t>
  </si>
  <si>
    <t xml:space="preserve">Freeze</t>
  </si>
  <si>
    <t xml:space="preserve">Integration branch frozen as a reference</t>
  </si>
  <si>
    <t xml:space="preserve">Open questions and proposed decisions (stall-loop design, revision 5)</t>
  </si>
  <si>
    <t xml:space="preserve">Item</t>
  </si>
  <si>
    <t xml:space="preserve">Question or decision</t>
  </si>
  <si>
    <t xml:space="preserve">Blocks</t>
  </si>
  <si>
    <t xml:space="preserve">Answer (fill in)</t>
  </si>
  <si>
    <t xml:space="preserve">Q-18</t>
  </si>
  <si>
    <t xml:space="preserve">Confirm the canonical settled form: one combined datum per paying wallet and one deposit datum per envelope on the proposer channel; own-wallet reads see the pre-state balance less the commitment.</t>
  </si>
  <si>
    <t xml:space="preserve">Open</t>
  </si>
  <si>
    <t xml:space="preserve">Q-19</t>
  </si>
  <si>
    <t xml:space="preserve">Hook-update threshold: fixed k of n at genesis, or changeable by the hook authority itself.</t>
  </si>
  <si>
    <t xml:space="preserve">Q-20</t>
  </si>
  <si>
    <t xml:space="preserve">When the REV hook is called: after every block's settlement, at epoch boundaries, or both.</t>
  </si>
  <si>
    <t xml:space="preserve">Decision 9</t>
  </si>
  <si>
    <t xml:space="preserve">The canonical settled form (as Q-18).</t>
  </si>
  <si>
    <t xml:space="preserve">Proposed</t>
  </si>
  <si>
    <t xml:space="preserve">Decision 10</t>
  </si>
  <si>
    <t xml:space="preserve">Base: new branch from current dev with reduced Track A; integration branch frozen.</t>
  </si>
  <si>
    <t xml:space="preserve">Decision 11</t>
  </si>
  <si>
    <t xml:space="preserve">Phase 0 goes to dev as its own pull request.</t>
  </si>
  <si>
    <t xml:space="preserve">Decision 12</t>
  </si>
  <si>
    <t xml:space="preserve">The throughput targets become exit criteria (P2-13).</t>
  </si>
  <si>
    <t xml:space="preserve">Decision 13</t>
  </si>
  <si>
    <t xml:space="preserve">Clone-audit Tier 0 fixes land on dev beside phase 0.</t>
  </si>
  <si>
    <t xml:space="preserve">Names</t>
  </si>
  <si>
    <t xml:space="preserve">Branch names fix/stall-track-a-on-dev and feature/rev-stacks-ote, and the rev-stacks/* tags.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</si>
</sst>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62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38"/>
    <col collapsed="false" customWidth="true" hidden="false" outlineLevel="0" max="12" min="12" style="0" width="6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1"/>
  </cols>
  <sheetData>
    <row r="1" customFormat="false" ht="17.35" hidden="false" customHeight="fals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7.75" hidden="false" customHeight="true" outlineLevel="0" collapsed="false">
      <c r="A5" s="4" t="s">
        <v>17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27.75" hidden="false" customHeight="true" outlineLevel="0" collapsed="false">
      <c r="A6" s="5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false" ht="85.05" hidden="false" customHeight="false" outlineLevel="0" collapsed="false">
      <c r="A7" s="6" t="n">
        <v>1</v>
      </c>
      <c r="B7" s="6" t="n">
        <v>0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24</v>
      </c>
      <c r="J7" s="6" t="s">
        <v>25</v>
      </c>
      <c r="K7" s="6" t="s">
        <v>26</v>
      </c>
      <c r="L7" s="6" t="s">
        <v>27</v>
      </c>
      <c r="M7" s="6" t="s">
        <v>28</v>
      </c>
      <c r="N7" s="7"/>
      <c r="O7" s="7"/>
    </row>
    <row r="8" customFormat="false" ht="22.35" hidden="false" customHeight="false" outlineLevel="0" collapsed="false">
      <c r="A8" s="6" t="n">
        <v>2</v>
      </c>
      <c r="B8" s="6" t="n">
        <v>0</v>
      </c>
      <c r="C8" s="6" t="s">
        <v>29</v>
      </c>
      <c r="D8" s="6" t="s">
        <v>20</v>
      </c>
      <c r="E8" s="6" t="s">
        <v>30</v>
      </c>
      <c r="F8" s="6" t="s">
        <v>31</v>
      </c>
      <c r="G8" s="6" t="s">
        <v>32</v>
      </c>
      <c r="H8" s="6" t="s">
        <v>33</v>
      </c>
      <c r="I8" s="6" t="s">
        <v>24</v>
      </c>
      <c r="J8" s="6" t="s">
        <v>34</v>
      </c>
      <c r="K8" s="6" t="s">
        <v>35</v>
      </c>
      <c r="L8" s="6" t="s">
        <v>27</v>
      </c>
      <c r="M8" s="6" t="s">
        <v>36</v>
      </c>
      <c r="N8" s="7"/>
      <c r="O8" s="7"/>
    </row>
    <row r="9" customFormat="false" ht="22.35" hidden="false" customHeight="false" outlineLevel="0" collapsed="false">
      <c r="A9" s="6" t="n">
        <v>3</v>
      </c>
      <c r="B9" s="6" t="n">
        <v>0</v>
      </c>
      <c r="C9" s="6" t="s">
        <v>37</v>
      </c>
      <c r="D9" s="6" t="s">
        <v>20</v>
      </c>
      <c r="E9" s="6" t="s">
        <v>38</v>
      </c>
      <c r="F9" s="6" t="s">
        <v>39</v>
      </c>
      <c r="G9" s="6" t="s">
        <v>40</v>
      </c>
      <c r="H9" s="6" t="s">
        <v>41</v>
      </c>
      <c r="I9" s="6" t="s">
        <v>24</v>
      </c>
      <c r="J9" s="6" t="s">
        <v>34</v>
      </c>
      <c r="K9" s="6" t="s">
        <v>42</v>
      </c>
      <c r="L9" s="6" t="s">
        <v>43</v>
      </c>
      <c r="M9" s="6" t="s">
        <v>36</v>
      </c>
      <c r="N9" s="7"/>
      <c r="O9" s="7"/>
    </row>
    <row r="10" customFormat="false" ht="22.35" hidden="false" customHeight="false" outlineLevel="0" collapsed="false">
      <c r="A10" s="6" t="n">
        <v>4</v>
      </c>
      <c r="B10" s="6" t="n">
        <v>0</v>
      </c>
      <c r="C10" s="6" t="s">
        <v>44</v>
      </c>
      <c r="D10" s="6" t="s">
        <v>20</v>
      </c>
      <c r="E10" s="6" t="s">
        <v>45</v>
      </c>
      <c r="F10" s="6" t="s">
        <v>46</v>
      </c>
      <c r="G10" s="6" t="s">
        <v>47</v>
      </c>
      <c r="H10" s="6" t="s">
        <v>48</v>
      </c>
      <c r="I10" s="6" t="s">
        <v>24</v>
      </c>
      <c r="J10" s="6" t="s">
        <v>34</v>
      </c>
      <c r="K10" s="6" t="s">
        <v>49</v>
      </c>
      <c r="L10" s="6" t="s">
        <v>43</v>
      </c>
      <c r="M10" s="6" t="s">
        <v>36</v>
      </c>
      <c r="N10" s="7"/>
      <c r="O10" s="7"/>
    </row>
    <row r="11" customFormat="false" ht="32.8" hidden="false" customHeight="false" outlineLevel="0" collapsed="false">
      <c r="A11" s="6" t="n">
        <v>5</v>
      </c>
      <c r="B11" s="6" t="n">
        <v>0</v>
      </c>
      <c r="C11" s="6" t="s">
        <v>50</v>
      </c>
      <c r="D11" s="6" t="s">
        <v>20</v>
      </c>
      <c r="E11" s="6" t="s">
        <v>51</v>
      </c>
      <c r="F11" s="6" t="s">
        <v>52</v>
      </c>
      <c r="G11" s="6" t="s">
        <v>53</v>
      </c>
      <c r="H11" s="6" t="s">
        <v>54</v>
      </c>
      <c r="I11" s="6" t="s">
        <v>24</v>
      </c>
      <c r="J11" s="6" t="s">
        <v>55</v>
      </c>
      <c r="K11" s="6" t="s">
        <v>56</v>
      </c>
      <c r="L11" s="6" t="s">
        <v>43</v>
      </c>
      <c r="M11" s="6" t="s">
        <v>36</v>
      </c>
      <c r="N11" s="7"/>
      <c r="O11" s="7"/>
    </row>
    <row r="12" customFormat="false" ht="43.25" hidden="false" customHeight="false" outlineLevel="0" collapsed="false">
      <c r="A12" s="6" t="n">
        <v>6</v>
      </c>
      <c r="B12" s="6" t="n">
        <v>0</v>
      </c>
      <c r="C12" s="6" t="s">
        <v>57</v>
      </c>
      <c r="D12" s="6" t="s">
        <v>20</v>
      </c>
      <c r="E12" s="6" t="s">
        <v>58</v>
      </c>
      <c r="F12" s="6" t="s">
        <v>59</v>
      </c>
      <c r="G12" s="6" t="s">
        <v>60</v>
      </c>
      <c r="H12" s="6" t="s">
        <v>61</v>
      </c>
      <c r="I12" s="6" t="s">
        <v>19</v>
      </c>
      <c r="J12" s="6" t="s">
        <v>62</v>
      </c>
      <c r="K12" s="6" t="s">
        <v>63</v>
      </c>
      <c r="L12" s="6" t="s">
        <v>27</v>
      </c>
      <c r="M12" s="6" t="s">
        <v>64</v>
      </c>
      <c r="N12" s="7"/>
      <c r="O12" s="7"/>
    </row>
    <row r="13" customFormat="false" ht="22.35" hidden="false" customHeight="false" outlineLevel="0" collapsed="false">
      <c r="A13" s="6" t="n">
        <v>7</v>
      </c>
      <c r="B13" s="6" t="n">
        <v>0</v>
      </c>
      <c r="C13" s="6" t="s">
        <v>65</v>
      </c>
      <c r="D13" s="6" t="s">
        <v>20</v>
      </c>
      <c r="E13" s="6" t="s">
        <v>66</v>
      </c>
      <c r="F13" s="6" t="s">
        <v>67</v>
      </c>
      <c r="G13" s="6" t="s">
        <v>68</v>
      </c>
      <c r="H13" s="6" t="s">
        <v>69</v>
      </c>
      <c r="I13" s="6" t="s">
        <v>70</v>
      </c>
      <c r="J13" s="6" t="s">
        <v>71</v>
      </c>
      <c r="K13" s="6" t="s">
        <v>72</v>
      </c>
      <c r="L13" s="6" t="s">
        <v>27</v>
      </c>
      <c r="M13" s="6" t="s">
        <v>73</v>
      </c>
      <c r="N13" s="7"/>
      <c r="O13" s="7"/>
    </row>
    <row r="14" customFormat="false" ht="22.35" hidden="false" customHeight="false" outlineLevel="0" collapsed="false">
      <c r="A14" s="6" t="n">
        <v>8</v>
      </c>
      <c r="B14" s="6" t="n">
        <v>0</v>
      </c>
      <c r="C14" s="6" t="s">
        <v>74</v>
      </c>
      <c r="D14" s="6" t="s">
        <v>20</v>
      </c>
      <c r="E14" s="6" t="s">
        <v>75</v>
      </c>
      <c r="F14" s="6" t="s">
        <v>76</v>
      </c>
      <c r="G14" s="6" t="s">
        <v>77</v>
      </c>
      <c r="H14" s="6" t="s">
        <v>61</v>
      </c>
      <c r="I14" s="6" t="s">
        <v>65</v>
      </c>
      <c r="J14" s="6" t="s">
        <v>78</v>
      </c>
      <c r="K14" s="6" t="s">
        <v>79</v>
      </c>
      <c r="L14" s="6" t="s">
        <v>43</v>
      </c>
      <c r="M14" s="6" t="s">
        <v>73</v>
      </c>
      <c r="N14" s="7"/>
      <c r="O14" s="7"/>
    </row>
    <row r="15" customFormat="false" ht="22.35" hidden="false" customHeight="false" outlineLevel="0" collapsed="false">
      <c r="A15" s="6" t="n">
        <v>9</v>
      </c>
      <c r="B15" s="6" t="n">
        <v>0</v>
      </c>
      <c r="C15" s="6" t="s">
        <v>80</v>
      </c>
      <c r="D15" s="6" t="s">
        <v>20</v>
      </c>
      <c r="E15" s="6" t="s">
        <v>81</v>
      </c>
      <c r="F15" s="6" t="s">
        <v>82</v>
      </c>
      <c r="G15" s="6" t="s">
        <v>83</v>
      </c>
      <c r="H15" s="6" t="s">
        <v>84</v>
      </c>
      <c r="I15" s="6" t="s">
        <v>74</v>
      </c>
      <c r="J15" s="6" t="s">
        <v>85</v>
      </c>
      <c r="K15" s="6" t="s">
        <v>86</v>
      </c>
      <c r="L15" s="6" t="s">
        <v>27</v>
      </c>
      <c r="M15" s="6" t="s">
        <v>73</v>
      </c>
      <c r="N15" s="7"/>
      <c r="O15" s="7"/>
    </row>
    <row r="16" customFormat="false" ht="32.8" hidden="false" customHeight="false" outlineLevel="0" collapsed="false">
      <c r="A16" s="6" t="n">
        <v>10</v>
      </c>
      <c r="B16" s="6" t="n">
        <v>0</v>
      </c>
      <c r="C16" s="6" t="s">
        <v>87</v>
      </c>
      <c r="D16" s="6" t="s">
        <v>20</v>
      </c>
      <c r="E16" s="6" t="s">
        <v>88</v>
      </c>
      <c r="F16" s="6" t="s">
        <v>89</v>
      </c>
      <c r="G16" s="6" t="s">
        <v>90</v>
      </c>
      <c r="H16" s="6" t="s">
        <v>91</v>
      </c>
      <c r="I16" s="6" t="s">
        <v>29</v>
      </c>
      <c r="J16" s="6" t="s">
        <v>92</v>
      </c>
      <c r="K16" s="6" t="s">
        <v>93</v>
      </c>
      <c r="L16" s="6" t="s">
        <v>27</v>
      </c>
      <c r="M16" s="6" t="s">
        <v>73</v>
      </c>
      <c r="N16" s="7"/>
      <c r="O16" s="7"/>
    </row>
    <row r="17" customFormat="false" ht="22.35" hidden="false" customHeight="false" outlineLevel="0" collapsed="false">
      <c r="A17" s="6" t="n">
        <v>11</v>
      </c>
      <c r="B17" s="6" t="n">
        <v>0</v>
      </c>
      <c r="C17" s="6" t="s">
        <v>94</v>
      </c>
      <c r="D17" s="6" t="s">
        <v>20</v>
      </c>
      <c r="E17" s="6" t="s">
        <v>95</v>
      </c>
      <c r="F17" s="6" t="s">
        <v>96</v>
      </c>
      <c r="G17" s="6" t="s">
        <v>97</v>
      </c>
      <c r="H17" s="6" t="s">
        <v>98</v>
      </c>
      <c r="I17" s="6" t="s">
        <v>99</v>
      </c>
      <c r="J17" s="6" t="s">
        <v>100</v>
      </c>
      <c r="K17" s="6" t="s">
        <v>101</v>
      </c>
      <c r="L17" s="6" t="s">
        <v>27</v>
      </c>
      <c r="M17" s="6" t="s">
        <v>64</v>
      </c>
      <c r="N17" s="7"/>
      <c r="O17" s="7"/>
    </row>
    <row r="18" customFormat="false" ht="22.35" hidden="false" customHeight="false" outlineLevel="0" collapsed="false">
      <c r="A18" s="6" t="n">
        <v>12</v>
      </c>
      <c r="B18" s="6" t="n">
        <v>0</v>
      </c>
      <c r="C18" s="6" t="s">
        <v>102</v>
      </c>
      <c r="D18" s="6" t="s">
        <v>20</v>
      </c>
      <c r="E18" s="6" t="s">
        <v>103</v>
      </c>
      <c r="F18" s="6" t="s">
        <v>104</v>
      </c>
      <c r="G18" s="6" t="s">
        <v>105</v>
      </c>
      <c r="H18" s="6" t="s">
        <v>106</v>
      </c>
      <c r="I18" s="6" t="s">
        <v>19</v>
      </c>
      <c r="J18" s="6" t="s">
        <v>107</v>
      </c>
      <c r="K18" s="6" t="s">
        <v>108</v>
      </c>
      <c r="L18" s="6" t="s">
        <v>27</v>
      </c>
      <c r="M18" s="6" t="s">
        <v>64</v>
      </c>
      <c r="N18" s="7"/>
      <c r="O18" s="7"/>
    </row>
    <row r="19" customFormat="false" ht="22.35" hidden="false" customHeight="false" outlineLevel="0" collapsed="false">
      <c r="A19" s="6" t="n">
        <v>13</v>
      </c>
      <c r="B19" s="6" t="n">
        <v>0</v>
      </c>
      <c r="C19" s="6" t="s">
        <v>109</v>
      </c>
      <c r="D19" s="6" t="s">
        <v>20</v>
      </c>
      <c r="E19" s="6" t="s">
        <v>110</v>
      </c>
      <c r="F19" s="6" t="s">
        <v>111</v>
      </c>
      <c r="G19" s="6" t="s">
        <v>112</v>
      </c>
      <c r="H19" s="6" t="s">
        <v>113</v>
      </c>
      <c r="I19" s="6" t="s">
        <v>24</v>
      </c>
      <c r="J19" s="6" t="s">
        <v>78</v>
      </c>
      <c r="K19" s="6" t="s">
        <v>114</v>
      </c>
      <c r="L19" s="6" t="s">
        <v>43</v>
      </c>
      <c r="M19" s="6" t="s">
        <v>73</v>
      </c>
      <c r="N19" s="7"/>
      <c r="O19" s="7"/>
    </row>
    <row r="20" customFormat="false" ht="22.35" hidden="false" customHeight="false" outlineLevel="0" collapsed="false">
      <c r="A20" s="8" t="n">
        <v>14</v>
      </c>
      <c r="B20" s="8" t="n">
        <v>0</v>
      </c>
      <c r="C20" s="8" t="s">
        <v>24</v>
      </c>
      <c r="D20" s="8" t="s">
        <v>20</v>
      </c>
      <c r="E20" s="8" t="s">
        <v>115</v>
      </c>
      <c r="F20" s="8" t="s">
        <v>116</v>
      </c>
      <c r="G20" s="8" t="s">
        <v>117</v>
      </c>
      <c r="H20" s="8" t="s">
        <v>24</v>
      </c>
      <c r="I20" s="8" t="s">
        <v>24</v>
      </c>
      <c r="J20" s="8" t="s">
        <v>24</v>
      </c>
      <c r="K20" s="8" t="s">
        <v>24</v>
      </c>
      <c r="L20" s="8" t="s">
        <v>24</v>
      </c>
      <c r="M20" s="8" t="s">
        <v>118</v>
      </c>
      <c r="N20" s="8"/>
      <c r="O20" s="8"/>
    </row>
    <row r="21" customFormat="false" ht="22.35" hidden="false" customHeight="false" outlineLevel="0" collapsed="false">
      <c r="A21" s="8" t="n">
        <v>15</v>
      </c>
      <c r="B21" s="8" t="n">
        <v>0</v>
      </c>
      <c r="C21" s="8" t="s">
        <v>24</v>
      </c>
      <c r="D21" s="8" t="s">
        <v>20</v>
      </c>
      <c r="E21" s="8" t="s">
        <v>119</v>
      </c>
      <c r="F21" s="8" t="s">
        <v>120</v>
      </c>
      <c r="G21" s="8" t="s">
        <v>121</v>
      </c>
      <c r="H21" s="8" t="s">
        <v>24</v>
      </c>
      <c r="I21" s="8" t="s">
        <v>24</v>
      </c>
      <c r="J21" s="8" t="s">
        <v>24</v>
      </c>
      <c r="K21" s="8" t="s">
        <v>24</v>
      </c>
      <c r="L21" s="8" t="s">
        <v>24</v>
      </c>
      <c r="M21" s="8" t="s">
        <v>118</v>
      </c>
      <c r="N21" s="8"/>
      <c r="O21" s="8"/>
    </row>
    <row r="22" customFormat="false" ht="32.8" hidden="false" customHeight="false" outlineLevel="0" collapsed="false">
      <c r="A22" s="6" t="n">
        <v>16</v>
      </c>
      <c r="B22" s="6" t="n">
        <v>0</v>
      </c>
      <c r="C22" s="6" t="s">
        <v>122</v>
      </c>
      <c r="D22" s="6" t="s">
        <v>123</v>
      </c>
      <c r="E22" s="6" t="s">
        <v>124</v>
      </c>
      <c r="F22" s="6" t="s">
        <v>125</v>
      </c>
      <c r="G22" s="6" t="s">
        <v>126</v>
      </c>
      <c r="H22" s="6" t="s">
        <v>127</v>
      </c>
      <c r="I22" s="6" t="s">
        <v>19</v>
      </c>
      <c r="J22" s="6" t="s">
        <v>128</v>
      </c>
      <c r="K22" s="6" t="s">
        <v>129</v>
      </c>
      <c r="L22" s="6" t="s">
        <v>43</v>
      </c>
      <c r="M22" s="6" t="s">
        <v>130</v>
      </c>
      <c r="N22" s="7"/>
      <c r="O22" s="7"/>
    </row>
    <row r="23" customFormat="false" ht="27.75" hidden="false" customHeight="true" outlineLevel="0" collapsed="false">
      <c r="A23" s="9" t="s">
        <v>131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7.75" hidden="false" customHeight="true" outlineLevel="0" collapsed="false">
      <c r="A24" s="9" t="s">
        <v>132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7.75" hidden="false" customHeight="true" outlineLevel="0" collapsed="false">
      <c r="A25" s="4" t="s">
        <v>133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customFormat="false" ht="27.75" hidden="false" customHeight="true" outlineLevel="0" collapsed="false">
      <c r="A26" s="5" t="s">
        <v>134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customFormat="false" ht="32.8" hidden="false" customHeight="false" outlineLevel="0" collapsed="false">
      <c r="A27" s="6" t="n">
        <v>17</v>
      </c>
      <c r="B27" s="6" t="n">
        <v>1</v>
      </c>
      <c r="C27" s="6" t="s">
        <v>135</v>
      </c>
      <c r="D27" s="6" t="s">
        <v>136</v>
      </c>
      <c r="E27" s="6" t="s">
        <v>137</v>
      </c>
      <c r="F27" s="6" t="s">
        <v>138</v>
      </c>
      <c r="G27" s="6" t="s">
        <v>139</v>
      </c>
      <c r="H27" s="6" t="s">
        <v>140</v>
      </c>
      <c r="I27" s="6" t="s">
        <v>141</v>
      </c>
      <c r="J27" s="6" t="s">
        <v>142</v>
      </c>
      <c r="K27" s="6" t="s">
        <v>143</v>
      </c>
      <c r="L27" s="6" t="s">
        <v>43</v>
      </c>
      <c r="M27" s="6" t="s">
        <v>28</v>
      </c>
      <c r="N27" s="7"/>
      <c r="O27" s="7"/>
    </row>
    <row r="28" customFormat="false" ht="22.35" hidden="false" customHeight="false" outlineLevel="0" collapsed="false">
      <c r="A28" s="6" t="n">
        <v>18</v>
      </c>
      <c r="B28" s="6" t="n">
        <v>1</v>
      </c>
      <c r="C28" s="6" t="s">
        <v>144</v>
      </c>
      <c r="D28" s="6" t="s">
        <v>136</v>
      </c>
      <c r="E28" s="6" t="s">
        <v>145</v>
      </c>
      <c r="F28" s="6" t="s">
        <v>146</v>
      </c>
      <c r="G28" s="6" t="s">
        <v>147</v>
      </c>
      <c r="H28" s="6" t="s">
        <v>148</v>
      </c>
      <c r="I28" s="6" t="s">
        <v>135</v>
      </c>
      <c r="J28" s="6" t="s">
        <v>149</v>
      </c>
      <c r="K28" s="6" t="s">
        <v>150</v>
      </c>
      <c r="L28" s="6" t="s">
        <v>27</v>
      </c>
      <c r="M28" s="6" t="s">
        <v>28</v>
      </c>
      <c r="N28" s="7"/>
      <c r="O28" s="7"/>
    </row>
    <row r="29" customFormat="false" ht="32.8" hidden="false" customHeight="false" outlineLevel="0" collapsed="false">
      <c r="A29" s="6" t="n">
        <v>19</v>
      </c>
      <c r="B29" s="6" t="n">
        <v>1</v>
      </c>
      <c r="C29" s="6" t="s">
        <v>151</v>
      </c>
      <c r="D29" s="6" t="s">
        <v>136</v>
      </c>
      <c r="E29" s="6" t="s">
        <v>152</v>
      </c>
      <c r="F29" s="6" t="s">
        <v>153</v>
      </c>
      <c r="G29" s="6" t="s">
        <v>154</v>
      </c>
      <c r="H29" s="6" t="s">
        <v>155</v>
      </c>
      <c r="I29" s="6" t="s">
        <v>135</v>
      </c>
      <c r="J29" s="6" t="s">
        <v>156</v>
      </c>
      <c r="K29" s="6" t="s">
        <v>157</v>
      </c>
      <c r="L29" s="6" t="s">
        <v>43</v>
      </c>
      <c r="M29" s="6" t="s">
        <v>28</v>
      </c>
      <c r="N29" s="7"/>
      <c r="O29" s="7"/>
    </row>
    <row r="30" customFormat="false" ht="43.25" hidden="false" customHeight="false" outlineLevel="0" collapsed="false">
      <c r="A30" s="6" t="n">
        <v>20</v>
      </c>
      <c r="B30" s="6" t="n">
        <v>1</v>
      </c>
      <c r="C30" s="6" t="s">
        <v>158</v>
      </c>
      <c r="D30" s="6" t="s">
        <v>136</v>
      </c>
      <c r="E30" s="6" t="s">
        <v>159</v>
      </c>
      <c r="F30" s="6" t="s">
        <v>160</v>
      </c>
      <c r="G30" s="6" t="s">
        <v>161</v>
      </c>
      <c r="H30" s="6" t="s">
        <v>162</v>
      </c>
      <c r="I30" s="6" t="s">
        <v>151</v>
      </c>
      <c r="J30" s="6" t="s">
        <v>163</v>
      </c>
      <c r="K30" s="6" t="s">
        <v>164</v>
      </c>
      <c r="L30" s="6" t="s">
        <v>43</v>
      </c>
      <c r="M30" s="6" t="s">
        <v>28</v>
      </c>
      <c r="N30" s="7"/>
      <c r="O30" s="7"/>
    </row>
    <row r="31" customFormat="false" ht="22.35" hidden="false" customHeight="false" outlineLevel="0" collapsed="false">
      <c r="A31" s="6" t="n">
        <v>21</v>
      </c>
      <c r="B31" s="6" t="n">
        <v>1</v>
      </c>
      <c r="C31" s="6" t="s">
        <v>165</v>
      </c>
      <c r="D31" s="6" t="s">
        <v>136</v>
      </c>
      <c r="E31" s="6" t="s">
        <v>166</v>
      </c>
      <c r="F31" s="6" t="s">
        <v>167</v>
      </c>
      <c r="G31" s="6" t="s">
        <v>168</v>
      </c>
      <c r="H31" s="6" t="s">
        <v>169</v>
      </c>
      <c r="I31" s="6" t="s">
        <v>158</v>
      </c>
      <c r="J31" s="6" t="s">
        <v>170</v>
      </c>
      <c r="K31" s="6" t="s">
        <v>171</v>
      </c>
      <c r="L31" s="6" t="s">
        <v>27</v>
      </c>
      <c r="M31" s="6" t="s">
        <v>28</v>
      </c>
      <c r="N31" s="7"/>
      <c r="O31" s="7"/>
    </row>
    <row r="32" customFormat="false" ht="22.35" hidden="false" customHeight="false" outlineLevel="0" collapsed="false">
      <c r="A32" s="6" t="n">
        <v>22</v>
      </c>
      <c r="B32" s="6" t="n">
        <v>1</v>
      </c>
      <c r="C32" s="6" t="s">
        <v>172</v>
      </c>
      <c r="D32" s="6" t="s">
        <v>136</v>
      </c>
      <c r="E32" s="6" t="s">
        <v>173</v>
      </c>
      <c r="F32" s="6" t="s">
        <v>174</v>
      </c>
      <c r="G32" s="6" t="s">
        <v>175</v>
      </c>
      <c r="H32" s="6" t="s">
        <v>176</v>
      </c>
      <c r="I32" s="6" t="s">
        <v>165</v>
      </c>
      <c r="J32" s="6" t="s">
        <v>170</v>
      </c>
      <c r="K32" s="6" t="s">
        <v>177</v>
      </c>
      <c r="L32" s="6" t="s">
        <v>27</v>
      </c>
      <c r="M32" s="6" t="s">
        <v>28</v>
      </c>
      <c r="N32" s="7"/>
      <c r="O32" s="7"/>
    </row>
    <row r="33" customFormat="false" ht="15" hidden="false" customHeight="false" outlineLevel="0" collapsed="false">
      <c r="A33" s="6" t="n">
        <v>23</v>
      </c>
      <c r="B33" s="6" t="n">
        <v>1</v>
      </c>
      <c r="C33" s="6" t="s">
        <v>178</v>
      </c>
      <c r="D33" s="6" t="s">
        <v>136</v>
      </c>
      <c r="E33" s="6" t="s">
        <v>179</v>
      </c>
      <c r="F33" s="6" t="s">
        <v>180</v>
      </c>
      <c r="G33" s="6" t="s">
        <v>181</v>
      </c>
      <c r="H33" s="6" t="s">
        <v>182</v>
      </c>
      <c r="I33" s="6" t="s">
        <v>172</v>
      </c>
      <c r="J33" s="6" t="s">
        <v>170</v>
      </c>
      <c r="K33" s="6" t="s">
        <v>183</v>
      </c>
      <c r="L33" s="6" t="s">
        <v>27</v>
      </c>
      <c r="M33" s="6" t="s">
        <v>28</v>
      </c>
      <c r="N33" s="7"/>
      <c r="O33" s="7"/>
    </row>
    <row r="34" customFormat="false" ht="22.35" hidden="false" customHeight="false" outlineLevel="0" collapsed="false">
      <c r="A34" s="6" t="n">
        <v>24</v>
      </c>
      <c r="B34" s="6" t="n">
        <v>1</v>
      </c>
      <c r="C34" s="6" t="s">
        <v>184</v>
      </c>
      <c r="D34" s="6" t="s">
        <v>136</v>
      </c>
      <c r="E34" s="6" t="s">
        <v>185</v>
      </c>
      <c r="F34" s="6" t="s">
        <v>186</v>
      </c>
      <c r="G34" s="6" t="s">
        <v>187</v>
      </c>
      <c r="H34" s="6" t="s">
        <v>188</v>
      </c>
      <c r="I34" s="6" t="s">
        <v>178</v>
      </c>
      <c r="J34" s="6" t="s">
        <v>189</v>
      </c>
      <c r="K34" s="6" t="s">
        <v>190</v>
      </c>
      <c r="L34" s="6" t="s">
        <v>27</v>
      </c>
      <c r="M34" s="6" t="s">
        <v>28</v>
      </c>
      <c r="N34" s="7"/>
      <c r="O34" s="7"/>
    </row>
    <row r="35" customFormat="false" ht="15" hidden="false" customHeight="false" outlineLevel="0" collapsed="false">
      <c r="A35" s="6" t="n">
        <v>25</v>
      </c>
      <c r="B35" s="6" t="n">
        <v>1</v>
      </c>
      <c r="C35" s="6" t="s">
        <v>191</v>
      </c>
      <c r="D35" s="6" t="s">
        <v>136</v>
      </c>
      <c r="E35" s="6" t="s">
        <v>192</v>
      </c>
      <c r="F35" s="6" t="s">
        <v>193</v>
      </c>
      <c r="G35" s="6" t="s">
        <v>194</v>
      </c>
      <c r="H35" s="6" t="s">
        <v>195</v>
      </c>
      <c r="I35" s="6" t="s">
        <v>184</v>
      </c>
      <c r="J35" s="6" t="s">
        <v>170</v>
      </c>
      <c r="K35" s="6" t="s">
        <v>196</v>
      </c>
      <c r="L35" s="6" t="s">
        <v>27</v>
      </c>
      <c r="M35" s="6" t="s">
        <v>28</v>
      </c>
      <c r="N35" s="7"/>
      <c r="O35" s="7"/>
    </row>
    <row r="36" customFormat="false" ht="22.35" hidden="false" customHeight="false" outlineLevel="0" collapsed="false">
      <c r="A36" s="6" t="n">
        <v>26</v>
      </c>
      <c r="B36" s="6" t="n">
        <v>1</v>
      </c>
      <c r="C36" s="6" t="s">
        <v>197</v>
      </c>
      <c r="D36" s="6" t="s">
        <v>136</v>
      </c>
      <c r="E36" s="6" t="s">
        <v>198</v>
      </c>
      <c r="F36" s="6" t="s">
        <v>199</v>
      </c>
      <c r="G36" s="6" t="s">
        <v>200</v>
      </c>
      <c r="H36" s="6" t="s">
        <v>201</v>
      </c>
      <c r="I36" s="6" t="s">
        <v>202</v>
      </c>
      <c r="J36" s="6" t="s">
        <v>203</v>
      </c>
      <c r="K36" s="6" t="s">
        <v>204</v>
      </c>
      <c r="L36" s="6" t="s">
        <v>27</v>
      </c>
      <c r="M36" s="6" t="s">
        <v>28</v>
      </c>
      <c r="N36" s="7"/>
      <c r="O36" s="7"/>
    </row>
    <row r="37" customFormat="false" ht="15" hidden="false" customHeight="false" outlineLevel="0" collapsed="false">
      <c r="A37" s="6" t="n">
        <v>27</v>
      </c>
      <c r="B37" s="6" t="n">
        <v>1</v>
      </c>
      <c r="C37" s="6" t="s">
        <v>205</v>
      </c>
      <c r="D37" s="6" t="s">
        <v>136</v>
      </c>
      <c r="E37" s="6" t="s">
        <v>206</v>
      </c>
      <c r="F37" s="6" t="s">
        <v>207</v>
      </c>
      <c r="G37" s="6" t="s">
        <v>208</v>
      </c>
      <c r="H37" s="6" t="s">
        <v>182</v>
      </c>
      <c r="I37" s="6" t="s">
        <v>178</v>
      </c>
      <c r="J37" s="6" t="s">
        <v>170</v>
      </c>
      <c r="K37" s="6" t="s">
        <v>209</v>
      </c>
      <c r="L37" s="6" t="s">
        <v>27</v>
      </c>
      <c r="M37" s="6" t="s">
        <v>28</v>
      </c>
      <c r="N37" s="7"/>
      <c r="O37" s="7"/>
    </row>
    <row r="38" customFormat="false" ht="22.35" hidden="false" customHeight="false" outlineLevel="0" collapsed="false">
      <c r="A38" s="6" t="n">
        <v>28</v>
      </c>
      <c r="B38" s="6" t="n">
        <v>1</v>
      </c>
      <c r="C38" s="6" t="s">
        <v>210</v>
      </c>
      <c r="D38" s="6" t="s">
        <v>136</v>
      </c>
      <c r="E38" s="6" t="s">
        <v>211</v>
      </c>
      <c r="F38" s="6" t="s">
        <v>212</v>
      </c>
      <c r="G38" s="6" t="s">
        <v>213</v>
      </c>
      <c r="H38" s="6" t="s">
        <v>214</v>
      </c>
      <c r="I38" s="6" t="s">
        <v>172</v>
      </c>
      <c r="J38" s="6" t="s">
        <v>85</v>
      </c>
      <c r="K38" s="6" t="s">
        <v>215</v>
      </c>
      <c r="L38" s="6" t="s">
        <v>27</v>
      </c>
      <c r="M38" s="6" t="s">
        <v>28</v>
      </c>
      <c r="N38" s="7"/>
      <c r="O38" s="7"/>
    </row>
    <row r="39" customFormat="false" ht="22.35" hidden="false" customHeight="false" outlineLevel="0" collapsed="false">
      <c r="A39" s="6" t="n">
        <v>29</v>
      </c>
      <c r="B39" s="6" t="n">
        <v>1</v>
      </c>
      <c r="C39" s="6" t="s">
        <v>216</v>
      </c>
      <c r="D39" s="6" t="s">
        <v>136</v>
      </c>
      <c r="E39" s="6" t="s">
        <v>217</v>
      </c>
      <c r="F39" s="6" t="s">
        <v>218</v>
      </c>
      <c r="G39" s="6" t="s">
        <v>219</v>
      </c>
      <c r="H39" s="6" t="s">
        <v>220</v>
      </c>
      <c r="I39" s="6" t="s">
        <v>158</v>
      </c>
      <c r="J39" s="6" t="s">
        <v>85</v>
      </c>
      <c r="K39" s="6" t="s">
        <v>221</v>
      </c>
      <c r="L39" s="6" t="s">
        <v>43</v>
      </c>
      <c r="M39" s="6" t="s">
        <v>28</v>
      </c>
      <c r="N39" s="7"/>
      <c r="O39" s="7"/>
    </row>
    <row r="40" customFormat="false" ht="32.8" hidden="false" customHeight="false" outlineLevel="0" collapsed="false">
      <c r="A40" s="6" t="n">
        <v>30</v>
      </c>
      <c r="B40" s="6" t="n">
        <v>1</v>
      </c>
      <c r="C40" s="6" t="s">
        <v>222</v>
      </c>
      <c r="D40" s="6" t="s">
        <v>136</v>
      </c>
      <c r="E40" s="6" t="s">
        <v>223</v>
      </c>
      <c r="F40" s="6" t="s">
        <v>224</v>
      </c>
      <c r="G40" s="6" t="s">
        <v>225</v>
      </c>
      <c r="H40" s="6" t="s">
        <v>226</v>
      </c>
      <c r="I40" s="6" t="s">
        <v>227</v>
      </c>
      <c r="J40" s="6" t="s">
        <v>85</v>
      </c>
      <c r="K40" s="6" t="s">
        <v>228</v>
      </c>
      <c r="L40" s="6" t="s">
        <v>27</v>
      </c>
      <c r="M40" s="6" t="s">
        <v>28</v>
      </c>
      <c r="N40" s="7"/>
      <c r="O40" s="7"/>
    </row>
    <row r="41" customFormat="false" ht="27.75" hidden="false" customHeight="true" outlineLevel="0" collapsed="false">
      <c r="A41" s="9" t="s">
        <v>229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customFormat="false" ht="27.75" hidden="false" customHeight="true" outlineLevel="0" collapsed="false">
      <c r="A42" s="4" t="s">
        <v>230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customFormat="false" ht="27.75" hidden="false" customHeight="true" outlineLevel="0" collapsed="false">
      <c r="A43" s="5" t="s">
        <v>231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customFormat="false" ht="32.8" hidden="false" customHeight="false" outlineLevel="0" collapsed="false">
      <c r="A44" s="6" t="n">
        <v>31</v>
      </c>
      <c r="B44" s="6" t="n">
        <v>2</v>
      </c>
      <c r="C44" s="6" t="s">
        <v>232</v>
      </c>
      <c r="D44" s="6" t="s">
        <v>136</v>
      </c>
      <c r="E44" s="6" t="s">
        <v>233</v>
      </c>
      <c r="F44" s="6" t="s">
        <v>234</v>
      </c>
      <c r="G44" s="6" t="s">
        <v>235</v>
      </c>
      <c r="H44" s="6" t="s">
        <v>236</v>
      </c>
      <c r="I44" s="6" t="s">
        <v>237</v>
      </c>
      <c r="J44" s="6" t="s">
        <v>128</v>
      </c>
      <c r="K44" s="6" t="s">
        <v>238</v>
      </c>
      <c r="L44" s="6" t="s">
        <v>43</v>
      </c>
      <c r="M44" s="6" t="s">
        <v>28</v>
      </c>
      <c r="N44" s="7"/>
      <c r="O44" s="7"/>
    </row>
    <row r="45" customFormat="false" ht="22.35" hidden="false" customHeight="false" outlineLevel="0" collapsed="false">
      <c r="A45" s="6" t="n">
        <v>32</v>
      </c>
      <c r="B45" s="6" t="n">
        <v>2</v>
      </c>
      <c r="C45" s="6" t="s">
        <v>239</v>
      </c>
      <c r="D45" s="6" t="s">
        <v>136</v>
      </c>
      <c r="E45" s="6" t="s">
        <v>240</v>
      </c>
      <c r="F45" s="6" t="s">
        <v>241</v>
      </c>
      <c r="G45" s="6" t="s">
        <v>235</v>
      </c>
      <c r="H45" s="6" t="s">
        <v>242</v>
      </c>
      <c r="I45" s="6" t="s">
        <v>232</v>
      </c>
      <c r="J45" s="6" t="s">
        <v>128</v>
      </c>
      <c r="K45" s="6" t="s">
        <v>243</v>
      </c>
      <c r="L45" s="6" t="s">
        <v>27</v>
      </c>
      <c r="M45" s="6" t="s">
        <v>28</v>
      </c>
      <c r="N45" s="7"/>
      <c r="O45" s="7"/>
    </row>
    <row r="46" customFormat="false" ht="22.35" hidden="false" customHeight="false" outlineLevel="0" collapsed="false">
      <c r="A46" s="6" t="n">
        <v>33</v>
      </c>
      <c r="B46" s="6" t="n">
        <v>2</v>
      </c>
      <c r="C46" s="6" t="s">
        <v>244</v>
      </c>
      <c r="D46" s="6" t="s">
        <v>136</v>
      </c>
      <c r="E46" s="6" t="s">
        <v>245</v>
      </c>
      <c r="F46" s="6" t="s">
        <v>246</v>
      </c>
      <c r="G46" s="6" t="s">
        <v>247</v>
      </c>
      <c r="H46" s="6" t="s">
        <v>248</v>
      </c>
      <c r="I46" s="6" t="s">
        <v>232</v>
      </c>
      <c r="J46" s="6" t="s">
        <v>128</v>
      </c>
      <c r="K46" s="6" t="s">
        <v>249</v>
      </c>
      <c r="L46" s="6" t="s">
        <v>43</v>
      </c>
      <c r="M46" s="6" t="s">
        <v>28</v>
      </c>
      <c r="N46" s="7"/>
      <c r="O46" s="7"/>
    </row>
    <row r="47" customFormat="false" ht="32.8" hidden="false" customHeight="false" outlineLevel="0" collapsed="false">
      <c r="A47" s="6" t="n">
        <v>34</v>
      </c>
      <c r="B47" s="6" t="n">
        <v>2</v>
      </c>
      <c r="C47" s="6" t="s">
        <v>250</v>
      </c>
      <c r="D47" s="6" t="s">
        <v>136</v>
      </c>
      <c r="E47" s="6" t="s">
        <v>251</v>
      </c>
      <c r="F47" s="6" t="s">
        <v>252</v>
      </c>
      <c r="G47" s="6" t="s">
        <v>235</v>
      </c>
      <c r="H47" s="6" t="s">
        <v>253</v>
      </c>
      <c r="I47" s="6" t="s">
        <v>232</v>
      </c>
      <c r="J47" s="6" t="s">
        <v>128</v>
      </c>
      <c r="K47" s="6" t="s">
        <v>254</v>
      </c>
      <c r="L47" s="6" t="s">
        <v>43</v>
      </c>
      <c r="M47" s="6" t="s">
        <v>28</v>
      </c>
      <c r="N47" s="7"/>
      <c r="O47" s="7"/>
    </row>
    <row r="48" customFormat="false" ht="43.25" hidden="false" customHeight="false" outlineLevel="0" collapsed="false">
      <c r="A48" s="6" t="n">
        <v>35</v>
      </c>
      <c r="B48" s="6" t="n">
        <v>2</v>
      </c>
      <c r="C48" s="6" t="s">
        <v>255</v>
      </c>
      <c r="D48" s="6" t="s">
        <v>136</v>
      </c>
      <c r="E48" s="6" t="s">
        <v>256</v>
      </c>
      <c r="F48" s="6" t="s">
        <v>257</v>
      </c>
      <c r="G48" s="6" t="s">
        <v>235</v>
      </c>
      <c r="H48" s="6" t="s">
        <v>258</v>
      </c>
      <c r="I48" s="6" t="s">
        <v>259</v>
      </c>
      <c r="J48" s="6" t="s">
        <v>128</v>
      </c>
      <c r="K48" s="6" t="s">
        <v>260</v>
      </c>
      <c r="L48" s="6" t="s">
        <v>43</v>
      </c>
      <c r="M48" s="6" t="s">
        <v>28</v>
      </c>
      <c r="N48" s="7"/>
      <c r="O48" s="7"/>
    </row>
    <row r="49" customFormat="false" ht="22.35" hidden="false" customHeight="false" outlineLevel="0" collapsed="false">
      <c r="A49" s="6" t="n">
        <v>36</v>
      </c>
      <c r="B49" s="6" t="n">
        <v>2</v>
      </c>
      <c r="C49" s="6" t="s">
        <v>261</v>
      </c>
      <c r="D49" s="6" t="s">
        <v>136</v>
      </c>
      <c r="E49" s="6" t="s">
        <v>262</v>
      </c>
      <c r="F49" s="6" t="s">
        <v>263</v>
      </c>
      <c r="G49" s="6" t="s">
        <v>235</v>
      </c>
      <c r="H49" s="6" t="s">
        <v>264</v>
      </c>
      <c r="I49" s="6" t="s">
        <v>255</v>
      </c>
      <c r="J49" s="6" t="s">
        <v>128</v>
      </c>
      <c r="K49" s="6" t="s">
        <v>265</v>
      </c>
      <c r="L49" s="6" t="s">
        <v>27</v>
      </c>
      <c r="M49" s="6" t="s">
        <v>28</v>
      </c>
      <c r="N49" s="7"/>
      <c r="O49" s="7"/>
    </row>
    <row r="50" customFormat="false" ht="32.8" hidden="false" customHeight="false" outlineLevel="0" collapsed="false">
      <c r="A50" s="6" t="n">
        <v>37</v>
      </c>
      <c r="B50" s="6" t="n">
        <v>2</v>
      </c>
      <c r="C50" s="6" t="s">
        <v>266</v>
      </c>
      <c r="D50" s="6" t="s">
        <v>136</v>
      </c>
      <c r="E50" s="6" t="s">
        <v>267</v>
      </c>
      <c r="F50" s="6" t="s">
        <v>268</v>
      </c>
      <c r="G50" s="6" t="s">
        <v>235</v>
      </c>
      <c r="H50" s="6" t="s">
        <v>269</v>
      </c>
      <c r="I50" s="6" t="s">
        <v>250</v>
      </c>
      <c r="J50" s="6" t="s">
        <v>128</v>
      </c>
      <c r="K50" s="6" t="s">
        <v>270</v>
      </c>
      <c r="L50" s="6" t="s">
        <v>27</v>
      </c>
      <c r="M50" s="6" t="s">
        <v>28</v>
      </c>
      <c r="N50" s="7"/>
      <c r="O50" s="7"/>
    </row>
    <row r="51" customFormat="false" ht="32.8" hidden="false" customHeight="false" outlineLevel="0" collapsed="false">
      <c r="A51" s="6" t="n">
        <v>38</v>
      </c>
      <c r="B51" s="6" t="n">
        <v>2</v>
      </c>
      <c r="C51" s="6" t="s">
        <v>271</v>
      </c>
      <c r="D51" s="6" t="s">
        <v>136</v>
      </c>
      <c r="E51" s="6" t="s">
        <v>272</v>
      </c>
      <c r="F51" s="6" t="s">
        <v>273</v>
      </c>
      <c r="G51" s="6" t="s">
        <v>235</v>
      </c>
      <c r="H51" s="6" t="s">
        <v>274</v>
      </c>
      <c r="I51" s="6" t="s">
        <v>275</v>
      </c>
      <c r="J51" s="6" t="s">
        <v>128</v>
      </c>
      <c r="K51" s="6" t="s">
        <v>276</v>
      </c>
      <c r="L51" s="6" t="s">
        <v>43</v>
      </c>
      <c r="M51" s="6" t="s">
        <v>28</v>
      </c>
      <c r="N51" s="7"/>
      <c r="O51" s="7"/>
    </row>
    <row r="52" customFormat="false" ht="22.35" hidden="false" customHeight="false" outlineLevel="0" collapsed="false">
      <c r="A52" s="6" t="n">
        <v>39</v>
      </c>
      <c r="B52" s="6" t="n">
        <v>2</v>
      </c>
      <c r="C52" s="6" t="s">
        <v>277</v>
      </c>
      <c r="D52" s="6" t="s">
        <v>136</v>
      </c>
      <c r="E52" s="6" t="s">
        <v>278</v>
      </c>
      <c r="F52" s="6" t="s">
        <v>279</v>
      </c>
      <c r="G52" s="6" t="s">
        <v>235</v>
      </c>
      <c r="H52" s="6" t="s">
        <v>280</v>
      </c>
      <c r="I52" s="6" t="s">
        <v>281</v>
      </c>
      <c r="J52" s="6" t="s">
        <v>128</v>
      </c>
      <c r="K52" s="6" t="s">
        <v>282</v>
      </c>
      <c r="L52" s="6" t="s">
        <v>27</v>
      </c>
      <c r="M52" s="6" t="s">
        <v>28</v>
      </c>
      <c r="N52" s="7"/>
      <c r="O52" s="7"/>
    </row>
    <row r="53" customFormat="false" ht="22.35" hidden="false" customHeight="false" outlineLevel="0" collapsed="false">
      <c r="A53" s="6" t="n">
        <v>40</v>
      </c>
      <c r="B53" s="6" t="n">
        <v>2</v>
      </c>
      <c r="C53" s="6" t="s">
        <v>283</v>
      </c>
      <c r="D53" s="6" t="s">
        <v>136</v>
      </c>
      <c r="E53" s="6" t="s">
        <v>284</v>
      </c>
      <c r="F53" s="6" t="s">
        <v>285</v>
      </c>
      <c r="G53" s="6" t="s">
        <v>235</v>
      </c>
      <c r="H53" s="6" t="s">
        <v>286</v>
      </c>
      <c r="I53" s="6" t="s">
        <v>261</v>
      </c>
      <c r="J53" s="6" t="s">
        <v>128</v>
      </c>
      <c r="K53" s="6" t="s">
        <v>287</v>
      </c>
      <c r="L53" s="6" t="s">
        <v>27</v>
      </c>
      <c r="M53" s="6" t="s">
        <v>28</v>
      </c>
      <c r="N53" s="7"/>
      <c r="O53" s="7"/>
    </row>
    <row r="54" customFormat="false" ht="32.8" hidden="false" customHeight="false" outlineLevel="0" collapsed="false">
      <c r="A54" s="6" t="n">
        <v>41</v>
      </c>
      <c r="B54" s="6" t="n">
        <v>2</v>
      </c>
      <c r="C54" s="6" t="s">
        <v>288</v>
      </c>
      <c r="D54" s="6" t="s">
        <v>136</v>
      </c>
      <c r="E54" s="6" t="s">
        <v>289</v>
      </c>
      <c r="F54" s="6" t="s">
        <v>290</v>
      </c>
      <c r="G54" s="6" t="s">
        <v>291</v>
      </c>
      <c r="H54" s="6" t="s">
        <v>292</v>
      </c>
      <c r="I54" s="6" t="s">
        <v>261</v>
      </c>
      <c r="J54" s="6" t="s">
        <v>293</v>
      </c>
      <c r="K54" s="6" t="s">
        <v>294</v>
      </c>
      <c r="L54" s="6" t="s">
        <v>43</v>
      </c>
      <c r="M54" s="6" t="s">
        <v>28</v>
      </c>
      <c r="N54" s="7"/>
      <c r="O54" s="7"/>
    </row>
    <row r="55" customFormat="false" ht="22.35" hidden="false" customHeight="false" outlineLevel="0" collapsed="false">
      <c r="A55" s="6" t="n">
        <v>42</v>
      </c>
      <c r="B55" s="6" t="n">
        <v>2</v>
      </c>
      <c r="C55" s="6" t="s">
        <v>295</v>
      </c>
      <c r="D55" s="6" t="s">
        <v>136</v>
      </c>
      <c r="E55" s="6" t="s">
        <v>296</v>
      </c>
      <c r="F55" s="6" t="s">
        <v>297</v>
      </c>
      <c r="G55" s="6" t="s">
        <v>235</v>
      </c>
      <c r="H55" s="6" t="s">
        <v>298</v>
      </c>
      <c r="I55" s="6" t="s">
        <v>244</v>
      </c>
      <c r="J55" s="6" t="s">
        <v>128</v>
      </c>
      <c r="K55" s="6" t="s">
        <v>299</v>
      </c>
      <c r="L55" s="6" t="s">
        <v>27</v>
      </c>
      <c r="M55" s="6" t="s">
        <v>28</v>
      </c>
      <c r="N55" s="7"/>
      <c r="O55" s="7"/>
    </row>
    <row r="56" customFormat="false" ht="22.35" hidden="false" customHeight="false" outlineLevel="0" collapsed="false">
      <c r="A56" s="6" t="n">
        <v>43</v>
      </c>
      <c r="B56" s="6" t="n">
        <v>2</v>
      </c>
      <c r="C56" s="6" t="s">
        <v>300</v>
      </c>
      <c r="D56" s="6" t="s">
        <v>136</v>
      </c>
      <c r="E56" s="6" t="s">
        <v>301</v>
      </c>
      <c r="F56" s="6" t="s">
        <v>302</v>
      </c>
      <c r="G56" s="6" t="s">
        <v>303</v>
      </c>
      <c r="H56" s="6" t="s">
        <v>226</v>
      </c>
      <c r="I56" s="6" t="s">
        <v>304</v>
      </c>
      <c r="J56" s="6" t="s">
        <v>305</v>
      </c>
      <c r="K56" s="6" t="s">
        <v>306</v>
      </c>
      <c r="L56" s="6" t="s">
        <v>27</v>
      </c>
      <c r="M56" s="6" t="s">
        <v>28</v>
      </c>
      <c r="N56" s="7"/>
      <c r="O56" s="7"/>
    </row>
    <row r="57" customFormat="false" ht="27.75" hidden="false" customHeight="true" outlineLevel="0" collapsed="false">
      <c r="A57" s="9" t="s">
        <v>307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customFormat="false" ht="27.75" hidden="false" customHeight="true" outlineLevel="0" collapsed="false">
      <c r="A58" s="4" t="s">
        <v>308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customFormat="false" ht="27.75" hidden="false" customHeight="true" outlineLevel="0" collapsed="false">
      <c r="A59" s="5" t="s">
        <v>309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customFormat="false" ht="22.35" hidden="false" customHeight="false" outlineLevel="0" collapsed="false">
      <c r="A60" s="6" t="n">
        <v>44</v>
      </c>
      <c r="B60" s="6" t="n">
        <v>3</v>
      </c>
      <c r="C60" s="6" t="s">
        <v>310</v>
      </c>
      <c r="D60" s="6" t="s">
        <v>136</v>
      </c>
      <c r="E60" s="6" t="s">
        <v>311</v>
      </c>
      <c r="F60" s="6" t="s">
        <v>312</v>
      </c>
      <c r="G60" s="6" t="s">
        <v>313</v>
      </c>
      <c r="H60" s="6" t="s">
        <v>314</v>
      </c>
      <c r="I60" s="6" t="s">
        <v>315</v>
      </c>
      <c r="J60" s="6" t="s">
        <v>316</v>
      </c>
      <c r="K60" s="6" t="s">
        <v>317</v>
      </c>
      <c r="L60" s="6" t="s">
        <v>43</v>
      </c>
      <c r="M60" s="6" t="s">
        <v>28</v>
      </c>
      <c r="N60" s="7"/>
      <c r="O60" s="7"/>
    </row>
    <row r="61" customFormat="false" ht="15" hidden="false" customHeight="false" outlineLevel="0" collapsed="false">
      <c r="A61" s="6" t="n">
        <v>45</v>
      </c>
      <c r="B61" s="6" t="n">
        <v>3</v>
      </c>
      <c r="C61" s="6" t="s">
        <v>318</v>
      </c>
      <c r="D61" s="6" t="s">
        <v>136</v>
      </c>
      <c r="E61" s="6" t="s">
        <v>319</v>
      </c>
      <c r="F61" s="6" t="s">
        <v>320</v>
      </c>
      <c r="G61" s="6" t="s">
        <v>321</v>
      </c>
      <c r="H61" s="6" t="s">
        <v>322</v>
      </c>
      <c r="I61" s="6" t="s">
        <v>310</v>
      </c>
      <c r="J61" s="6" t="s">
        <v>316</v>
      </c>
      <c r="K61" s="6" t="s">
        <v>323</v>
      </c>
      <c r="L61" s="6" t="s">
        <v>43</v>
      </c>
      <c r="M61" s="6" t="s">
        <v>28</v>
      </c>
      <c r="N61" s="7"/>
      <c r="O61" s="7"/>
    </row>
    <row r="62" customFormat="false" ht="15" hidden="false" customHeight="false" outlineLevel="0" collapsed="false">
      <c r="A62" s="6" t="n">
        <v>46</v>
      </c>
      <c r="B62" s="6" t="n">
        <v>3</v>
      </c>
      <c r="C62" s="6" t="s">
        <v>324</v>
      </c>
      <c r="D62" s="6" t="s">
        <v>136</v>
      </c>
      <c r="E62" s="6" t="s">
        <v>325</v>
      </c>
      <c r="F62" s="6" t="s">
        <v>326</v>
      </c>
      <c r="G62" s="6" t="s">
        <v>327</v>
      </c>
      <c r="H62" s="6" t="s">
        <v>328</v>
      </c>
      <c r="I62" s="6" t="s">
        <v>318</v>
      </c>
      <c r="J62" s="6" t="s">
        <v>316</v>
      </c>
      <c r="K62" s="6" t="s">
        <v>329</v>
      </c>
      <c r="L62" s="6" t="s">
        <v>27</v>
      </c>
      <c r="M62" s="6" t="s">
        <v>28</v>
      </c>
      <c r="N62" s="7"/>
      <c r="O62" s="7"/>
    </row>
    <row r="63" customFormat="false" ht="22.35" hidden="false" customHeight="false" outlineLevel="0" collapsed="false">
      <c r="A63" s="6" t="n">
        <v>47</v>
      </c>
      <c r="B63" s="6" t="n">
        <v>3</v>
      </c>
      <c r="C63" s="6" t="s">
        <v>330</v>
      </c>
      <c r="D63" s="6" t="s">
        <v>136</v>
      </c>
      <c r="E63" s="6" t="s">
        <v>331</v>
      </c>
      <c r="F63" s="6" t="s">
        <v>332</v>
      </c>
      <c r="G63" s="6" t="s">
        <v>333</v>
      </c>
      <c r="H63" s="6" t="s">
        <v>334</v>
      </c>
      <c r="I63" s="6" t="s">
        <v>318</v>
      </c>
      <c r="J63" s="6" t="s">
        <v>335</v>
      </c>
      <c r="K63" s="6" t="s">
        <v>336</v>
      </c>
      <c r="L63" s="6" t="s">
        <v>43</v>
      </c>
      <c r="M63" s="6" t="s">
        <v>28</v>
      </c>
      <c r="N63" s="7"/>
      <c r="O63" s="7"/>
    </row>
    <row r="64" customFormat="false" ht="22.35" hidden="false" customHeight="false" outlineLevel="0" collapsed="false">
      <c r="A64" s="6" t="n">
        <v>48</v>
      </c>
      <c r="B64" s="6" t="n">
        <v>3</v>
      </c>
      <c r="C64" s="6" t="s">
        <v>337</v>
      </c>
      <c r="D64" s="6" t="s">
        <v>136</v>
      </c>
      <c r="E64" s="6" t="s">
        <v>338</v>
      </c>
      <c r="F64" s="6" t="s">
        <v>339</v>
      </c>
      <c r="G64" s="6" t="s">
        <v>340</v>
      </c>
      <c r="H64" s="6" t="s">
        <v>341</v>
      </c>
      <c r="I64" s="6" t="s">
        <v>250</v>
      </c>
      <c r="J64" s="6" t="s">
        <v>128</v>
      </c>
      <c r="K64" s="6" t="s">
        <v>342</v>
      </c>
      <c r="L64" s="6" t="s">
        <v>27</v>
      </c>
      <c r="M64" s="6" t="s">
        <v>28</v>
      </c>
      <c r="N64" s="7"/>
      <c r="O64" s="7"/>
    </row>
    <row r="65" customFormat="false" ht="15" hidden="false" customHeight="false" outlineLevel="0" collapsed="false">
      <c r="A65" s="6" t="n">
        <v>49</v>
      </c>
      <c r="B65" s="6" t="n">
        <v>3</v>
      </c>
      <c r="C65" s="6" t="s">
        <v>343</v>
      </c>
      <c r="D65" s="6" t="s">
        <v>136</v>
      </c>
      <c r="E65" s="6" t="s">
        <v>344</v>
      </c>
      <c r="F65" s="6" t="s">
        <v>345</v>
      </c>
      <c r="G65" s="6" t="s">
        <v>327</v>
      </c>
      <c r="H65" s="6" t="s">
        <v>280</v>
      </c>
      <c r="I65" s="6" t="s">
        <v>315</v>
      </c>
      <c r="J65" s="6" t="s">
        <v>316</v>
      </c>
      <c r="K65" s="6" t="s">
        <v>346</v>
      </c>
      <c r="L65" s="6" t="s">
        <v>43</v>
      </c>
      <c r="M65" s="6" t="s">
        <v>28</v>
      </c>
      <c r="N65" s="7"/>
      <c r="O65" s="7"/>
    </row>
    <row r="66" customFormat="false" ht="27.75" hidden="false" customHeight="true" outlineLevel="0" collapsed="false">
      <c r="A66" s="9" t="s">
        <v>347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customFormat="false" ht="27.75" hidden="false" customHeight="true" outlineLevel="0" collapsed="false">
      <c r="A67" s="9" t="s">
        <v>348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9" customFormat="false" ht="15" hidden="false" customHeight="false" outlineLevel="0" collapsed="false">
      <c r="A69" s="10" t="s">
        <v>349</v>
      </c>
    </row>
    <row r="70" customFormat="false" ht="15" hidden="false" customHeight="false" outlineLevel="0" collapsed="false">
      <c r="A70" s="11" t="s">
        <v>350</v>
      </c>
      <c r="B70" s="11"/>
      <c r="C70" s="11"/>
      <c r="D70" s="12" t="n">
        <f aca="false">COUNTA(C5:C67)-COUNTIF(C5:C67,"-")</f>
        <v>47</v>
      </c>
    </row>
    <row r="71" customFormat="false" ht="15" hidden="false" customHeight="false" outlineLevel="0" collapsed="false">
      <c r="A71" s="11" t="s">
        <v>118</v>
      </c>
      <c r="B71" s="11"/>
      <c r="C71" s="11"/>
      <c r="D71" s="12" t="n">
        <f aca="false">COUNTIF(M5:M67,"Dropped")</f>
        <v>2</v>
      </c>
    </row>
    <row r="72" customFormat="false" ht="15" hidden="false" customHeight="false" outlineLevel="0" collapsed="false">
      <c r="A72" s="11" t="s">
        <v>351</v>
      </c>
      <c r="B72" s="11"/>
      <c r="C72" s="11"/>
      <c r="D72" s="12" t="n">
        <f aca="false">COUNTIF(O5:O67,"Yes")</f>
        <v>0</v>
      </c>
    </row>
  </sheetData>
  <mergeCells count="18">
    <mergeCell ref="A2:O2"/>
    <mergeCell ref="A5:O5"/>
    <mergeCell ref="A6:O6"/>
    <mergeCell ref="A23:O23"/>
    <mergeCell ref="A24:O24"/>
    <mergeCell ref="A25:O25"/>
    <mergeCell ref="A26:O26"/>
    <mergeCell ref="A41:O41"/>
    <mergeCell ref="A42:O42"/>
    <mergeCell ref="A43:O43"/>
    <mergeCell ref="A57:O57"/>
    <mergeCell ref="A58:O58"/>
    <mergeCell ref="A59:O59"/>
    <mergeCell ref="A66:O66"/>
    <mergeCell ref="A67:O67"/>
    <mergeCell ref="A70:C70"/>
    <mergeCell ref="A71:C71"/>
    <mergeCell ref="A72:C72"/>
  </mergeCells>
  <dataValidations count="1">
    <dataValidation allowBlank="true" errorStyle="stop" operator="between" showDropDown="false" showErrorMessage="false" showInputMessage="false" sqref="O5:O6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352</v>
      </c>
    </row>
    <row r="3" customFormat="false" ht="23.85" hidden="false" customHeight="false" outlineLevel="0" collapsed="false">
      <c r="A3" s="3" t="s">
        <v>5</v>
      </c>
      <c r="B3" s="3" t="s">
        <v>353</v>
      </c>
      <c r="C3" s="3" t="s">
        <v>354</v>
      </c>
      <c r="D3" s="3" t="s">
        <v>355</v>
      </c>
      <c r="E3" s="3" t="s">
        <v>356</v>
      </c>
      <c r="F3" s="3" t="s">
        <v>357</v>
      </c>
      <c r="G3" s="3" t="s">
        <v>358</v>
      </c>
      <c r="H3" s="3" t="s">
        <v>359</v>
      </c>
      <c r="I3" s="3" t="s">
        <v>360</v>
      </c>
    </row>
    <row r="4" customFormat="false" ht="15" hidden="false" customHeight="false" outlineLevel="0" collapsed="false">
      <c r="A4" s="6" t="s">
        <v>361</v>
      </c>
      <c r="B4" s="6" t="s">
        <v>362</v>
      </c>
      <c r="C4" s="6" t="s">
        <v>24</v>
      </c>
      <c r="D4" s="6" t="s">
        <v>363</v>
      </c>
      <c r="E4" s="6" t="s">
        <v>364</v>
      </c>
      <c r="F4" s="6" t="n">
        <v>0</v>
      </c>
      <c r="G4" s="6" t="n">
        <v>0</v>
      </c>
      <c r="H4" s="6" t="s">
        <v>365</v>
      </c>
      <c r="I4" s="6" t="s">
        <v>366</v>
      </c>
    </row>
    <row r="5" customFormat="false" ht="15" hidden="false" customHeight="false" outlineLevel="0" collapsed="false">
      <c r="A5" s="6" t="s">
        <v>367</v>
      </c>
      <c r="B5" s="6" t="s">
        <v>368</v>
      </c>
      <c r="C5" s="6" t="s">
        <v>369</v>
      </c>
      <c r="D5" s="6" t="s">
        <v>370</v>
      </c>
      <c r="E5" s="6" t="s">
        <v>371</v>
      </c>
      <c r="F5" s="6" t="n">
        <v>439</v>
      </c>
      <c r="G5" s="6" t="n">
        <v>8</v>
      </c>
      <c r="H5" s="6" t="s">
        <v>8</v>
      </c>
      <c r="I5" s="6" t="s">
        <v>372</v>
      </c>
    </row>
    <row r="6" customFormat="false" ht="15" hidden="false" customHeight="false" outlineLevel="0" collapsed="false">
      <c r="A6" s="6" t="s">
        <v>373</v>
      </c>
      <c r="B6" s="6" t="s">
        <v>374</v>
      </c>
      <c r="C6" s="6" t="s">
        <v>367</v>
      </c>
      <c r="D6" s="6" t="s">
        <v>375</v>
      </c>
      <c r="E6" s="6" t="s">
        <v>371</v>
      </c>
      <c r="F6" s="6" t="n">
        <v>583</v>
      </c>
      <c r="G6" s="6" t="n">
        <v>13</v>
      </c>
      <c r="H6" s="6" t="s">
        <v>8</v>
      </c>
      <c r="I6" s="6" t="s">
        <v>376</v>
      </c>
    </row>
    <row r="7" customFormat="false" ht="15" hidden="false" customHeight="false" outlineLevel="0" collapsed="false">
      <c r="A7" s="6" t="s">
        <v>377</v>
      </c>
      <c r="B7" s="6" t="s">
        <v>378</v>
      </c>
      <c r="C7" s="6" t="s">
        <v>373</v>
      </c>
      <c r="D7" s="6" t="s">
        <v>379</v>
      </c>
      <c r="E7" s="6" t="s">
        <v>371</v>
      </c>
      <c r="F7" s="6" t="n">
        <v>583</v>
      </c>
      <c r="G7" s="6" t="n">
        <v>19</v>
      </c>
      <c r="H7" s="6" t="s">
        <v>8</v>
      </c>
      <c r="I7" s="6" t="s">
        <v>380</v>
      </c>
    </row>
    <row r="8" customFormat="false" ht="22.35" hidden="false" customHeight="false" outlineLevel="0" collapsed="false">
      <c r="A8" s="6" t="s">
        <v>381</v>
      </c>
      <c r="B8" s="6" t="s">
        <v>382</v>
      </c>
      <c r="C8" s="6" t="s">
        <v>369</v>
      </c>
      <c r="D8" s="6" t="s">
        <v>383</v>
      </c>
      <c r="E8" s="6" t="s">
        <v>371</v>
      </c>
      <c r="F8" s="6" t="n">
        <v>576</v>
      </c>
      <c r="G8" s="6" t="n">
        <v>7</v>
      </c>
      <c r="H8" s="6" t="s">
        <v>8</v>
      </c>
      <c r="I8" s="6" t="s">
        <v>384</v>
      </c>
    </row>
    <row r="9" customFormat="false" ht="22.35" hidden="false" customHeight="false" outlineLevel="0" collapsed="false">
      <c r="A9" s="6" t="s">
        <v>385</v>
      </c>
      <c r="B9" s="6" t="s">
        <v>386</v>
      </c>
      <c r="C9" s="6" t="s">
        <v>369</v>
      </c>
      <c r="D9" s="6" t="s">
        <v>387</v>
      </c>
      <c r="E9" s="6" t="s">
        <v>388</v>
      </c>
      <c r="F9" s="6" t="n">
        <v>128</v>
      </c>
      <c r="G9" s="6" t="n">
        <v>531</v>
      </c>
      <c r="H9" s="6" t="s">
        <v>389</v>
      </c>
      <c r="I9" s="6" t="s">
        <v>390</v>
      </c>
    </row>
    <row r="10" customFormat="false" ht="22.35" hidden="false" customHeight="false" outlineLevel="0" collapsed="false">
      <c r="A10" s="6" t="s">
        <v>391</v>
      </c>
      <c r="B10" s="6" t="s">
        <v>392</v>
      </c>
      <c r="C10" s="6" t="s">
        <v>393</v>
      </c>
      <c r="D10" s="6" t="s">
        <v>394</v>
      </c>
      <c r="E10" s="6" t="s">
        <v>364</v>
      </c>
      <c r="F10" s="6" t="n">
        <v>534</v>
      </c>
      <c r="G10" s="6" t="n">
        <v>50</v>
      </c>
      <c r="H10" s="6" t="s">
        <v>395</v>
      </c>
      <c r="I10" s="6" t="s">
        <v>396</v>
      </c>
    </row>
    <row r="11" customFormat="false" ht="15" hidden="false" customHeight="false" outlineLevel="0" collapsed="false">
      <c r="A11" s="6" t="s">
        <v>397</v>
      </c>
      <c r="B11" s="6" t="s">
        <v>398</v>
      </c>
      <c r="C11" s="6" t="s">
        <v>399</v>
      </c>
      <c r="D11" s="7"/>
      <c r="E11" s="7"/>
      <c r="F11" s="6"/>
      <c r="G11" s="6"/>
      <c r="H11" s="6" t="s">
        <v>400</v>
      </c>
      <c r="I11" s="6" t="s">
        <v>401</v>
      </c>
    </row>
    <row r="12" customFormat="false" ht="22.35" hidden="false" customHeight="false" outlineLevel="0" collapsed="false">
      <c r="A12" s="6" t="s">
        <v>402</v>
      </c>
      <c r="B12" s="6" t="s">
        <v>403</v>
      </c>
      <c r="C12" s="6" t="s">
        <v>404</v>
      </c>
      <c r="D12" s="7"/>
      <c r="E12" s="7"/>
      <c r="F12" s="6"/>
      <c r="G12" s="6"/>
      <c r="H12" s="6" t="s">
        <v>400</v>
      </c>
      <c r="I12" s="6" t="s">
        <v>405</v>
      </c>
    </row>
    <row r="13" customFormat="false" ht="15" hidden="false" customHeight="false" outlineLevel="0" collapsed="false">
      <c r="A13" s="6" t="s">
        <v>406</v>
      </c>
      <c r="B13" s="6" t="s">
        <v>407</v>
      </c>
      <c r="C13" s="6" t="s">
        <v>399</v>
      </c>
      <c r="D13" s="7"/>
      <c r="E13" s="7"/>
      <c r="F13" s="6"/>
      <c r="G13" s="6"/>
      <c r="H13" s="6" t="s">
        <v>408</v>
      </c>
      <c r="I13" s="6" t="s">
        <v>409</v>
      </c>
    </row>
    <row r="15" customFormat="false" ht="15" hidden="false" customHeight="false" outlineLevel="0" collapsed="false">
      <c r="A15" s="10" t="s">
        <v>410</v>
      </c>
    </row>
    <row r="16" customFormat="false" ht="23.85" hidden="false" customHeight="false" outlineLevel="0" collapsed="false">
      <c r="A16" s="3" t="s">
        <v>411</v>
      </c>
      <c r="B16" s="3" t="s">
        <v>412</v>
      </c>
      <c r="C16" s="3" t="s">
        <v>413</v>
      </c>
      <c r="D16" s="3" t="s">
        <v>414</v>
      </c>
      <c r="E16" s="3" t="s">
        <v>415</v>
      </c>
    </row>
    <row r="17" customFormat="false" ht="15" hidden="false" customHeight="false" outlineLevel="0" collapsed="false">
      <c r="A17" s="6" t="s">
        <v>416</v>
      </c>
      <c r="B17" s="6" t="s">
        <v>417</v>
      </c>
      <c r="C17" s="6" t="s">
        <v>418</v>
      </c>
      <c r="D17" s="6" t="s">
        <v>363</v>
      </c>
      <c r="E17" s="6" t="s">
        <v>364</v>
      </c>
    </row>
    <row r="18" customFormat="false" ht="22.35" hidden="false" customHeight="false" outlineLevel="0" collapsed="false">
      <c r="A18" s="6" t="s">
        <v>141</v>
      </c>
      <c r="B18" s="6" t="s">
        <v>419</v>
      </c>
      <c r="C18" s="6" t="s">
        <v>420</v>
      </c>
      <c r="D18" s="7"/>
      <c r="E18" s="7"/>
    </row>
    <row r="19" customFormat="false" ht="22.35" hidden="false" customHeight="false" outlineLevel="0" collapsed="false">
      <c r="A19" s="6" t="s">
        <v>237</v>
      </c>
      <c r="B19" s="6" t="s">
        <v>421</v>
      </c>
      <c r="C19" s="6" t="s">
        <v>422</v>
      </c>
      <c r="D19" s="7"/>
      <c r="E19" s="7"/>
    </row>
    <row r="20" customFormat="false" ht="22.35" hidden="false" customHeight="false" outlineLevel="0" collapsed="false">
      <c r="A20" s="6" t="s">
        <v>315</v>
      </c>
      <c r="B20" s="6" t="s">
        <v>423</v>
      </c>
      <c r="C20" s="6" t="s">
        <v>424</v>
      </c>
      <c r="D20" s="7"/>
      <c r="E20" s="7"/>
    </row>
    <row r="21" customFormat="false" ht="15" hidden="false" customHeight="false" outlineLevel="0" collapsed="false">
      <c r="A21" s="6" t="s">
        <v>425</v>
      </c>
      <c r="B21" s="6" t="s">
        <v>426</v>
      </c>
      <c r="C21" s="6" t="s">
        <v>427</v>
      </c>
      <c r="D21" s="7"/>
      <c r="E21" s="7"/>
    </row>
    <row r="22" customFormat="false" ht="22.35" hidden="false" customHeight="false" outlineLevel="0" collapsed="false">
      <c r="A22" s="6" t="s">
        <v>428</v>
      </c>
      <c r="B22" s="6" t="s">
        <v>429</v>
      </c>
      <c r="C22" s="6" t="s">
        <v>24</v>
      </c>
      <c r="D22" s="6" t="s">
        <v>394</v>
      </c>
      <c r="E22" s="6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430</v>
      </c>
    </row>
    <row r="3" customFormat="false" ht="15" hidden="false" customHeight="false" outlineLevel="0" collapsed="false">
      <c r="A3" s="3" t="s">
        <v>431</v>
      </c>
      <c r="B3" s="3" t="s">
        <v>432</v>
      </c>
      <c r="C3" s="3" t="s">
        <v>433</v>
      </c>
      <c r="D3" s="3" t="s">
        <v>359</v>
      </c>
      <c r="E3" s="3" t="s">
        <v>434</v>
      </c>
    </row>
    <row r="4" customFormat="false" ht="22.35" hidden="false" customHeight="false" outlineLevel="0" collapsed="false">
      <c r="A4" s="6" t="s">
        <v>435</v>
      </c>
      <c r="B4" s="6" t="s">
        <v>436</v>
      </c>
      <c r="C4" s="6" t="s">
        <v>255</v>
      </c>
      <c r="D4" s="6" t="s">
        <v>437</v>
      </c>
      <c r="E4" s="7"/>
    </row>
    <row r="5" customFormat="false" ht="15" hidden="false" customHeight="false" outlineLevel="0" collapsed="false">
      <c r="A5" s="6" t="s">
        <v>438</v>
      </c>
      <c r="B5" s="6" t="s">
        <v>439</v>
      </c>
      <c r="C5" s="6" t="s">
        <v>271</v>
      </c>
      <c r="D5" s="6" t="s">
        <v>437</v>
      </c>
      <c r="E5" s="7"/>
    </row>
    <row r="6" customFormat="false" ht="15" hidden="false" customHeight="false" outlineLevel="0" collapsed="false">
      <c r="A6" s="6" t="s">
        <v>440</v>
      </c>
      <c r="B6" s="6" t="s">
        <v>441</v>
      </c>
      <c r="C6" s="6" t="s">
        <v>271</v>
      </c>
      <c r="D6" s="6" t="s">
        <v>437</v>
      </c>
      <c r="E6" s="7"/>
    </row>
    <row r="7" customFormat="false" ht="15" hidden="false" customHeight="false" outlineLevel="0" collapsed="false">
      <c r="A7" s="6" t="s">
        <v>442</v>
      </c>
      <c r="B7" s="6" t="s">
        <v>443</v>
      </c>
      <c r="C7" s="6" t="s">
        <v>255</v>
      </c>
      <c r="D7" s="6" t="s">
        <v>444</v>
      </c>
      <c r="E7" s="7"/>
    </row>
    <row r="8" customFormat="false" ht="15" hidden="false" customHeight="false" outlineLevel="0" collapsed="false">
      <c r="A8" s="6" t="s">
        <v>445</v>
      </c>
      <c r="B8" s="6" t="s">
        <v>446</v>
      </c>
      <c r="C8" s="6" t="s">
        <v>19</v>
      </c>
      <c r="D8" s="6" t="s">
        <v>444</v>
      </c>
      <c r="E8" s="7"/>
    </row>
    <row r="9" customFormat="false" ht="15" hidden="false" customHeight="false" outlineLevel="0" collapsed="false">
      <c r="A9" s="6" t="s">
        <v>447</v>
      </c>
      <c r="B9" s="6" t="s">
        <v>448</v>
      </c>
      <c r="C9" s="6" t="s">
        <v>141</v>
      </c>
      <c r="D9" s="6" t="s">
        <v>444</v>
      </c>
      <c r="E9" s="7"/>
    </row>
    <row r="10" customFormat="false" ht="15" hidden="false" customHeight="false" outlineLevel="0" collapsed="false">
      <c r="A10" s="6" t="s">
        <v>449</v>
      </c>
      <c r="B10" s="6" t="s">
        <v>450</v>
      </c>
      <c r="C10" s="6" t="s">
        <v>315</v>
      </c>
      <c r="D10" s="6" t="s">
        <v>444</v>
      </c>
      <c r="E10" s="7"/>
    </row>
    <row r="11" customFormat="false" ht="15" hidden="false" customHeight="false" outlineLevel="0" collapsed="false">
      <c r="A11" s="6" t="s">
        <v>451</v>
      </c>
      <c r="B11" s="6" t="s">
        <v>452</v>
      </c>
      <c r="C11" s="6" t="s">
        <v>122</v>
      </c>
      <c r="D11" s="6" t="s">
        <v>444</v>
      </c>
      <c r="E11" s="7"/>
    </row>
    <row r="12" customFormat="false" ht="15" hidden="false" customHeight="false" outlineLevel="0" collapsed="false">
      <c r="A12" s="6" t="s">
        <v>453</v>
      </c>
      <c r="B12" s="6" t="s">
        <v>454</v>
      </c>
      <c r="C12" s="6" t="s">
        <v>29</v>
      </c>
      <c r="D12" s="6" t="s">
        <v>444</v>
      </c>
      <c r="E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2026-10-29T20:54:17Z</dcterms:created>
  <dc:creator>openpyxl</dc:creator>
  <dc:description/>
  <dc:language>en-US</dc:language>
  <cp:lastModifiedBy/>
  <dcterms:modified xsi:type="dcterms:W3CDTF">2026-10-29T20:54:17Z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